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d246f142212218e/Документы/"/>
    </mc:Choice>
  </mc:AlternateContent>
  <xr:revisionPtr revIDLastSave="11" documentId="8_{29E942B4-B82A-48D3-8281-FA4A9F4996B4}" xr6:coauthVersionLast="47" xr6:coauthVersionMax="47" xr10:uidLastSave="{0EEBACDB-EDC4-4FDF-9D4F-8C356603828B}"/>
  <bookViews>
    <workbookView xWindow="-120" yWindow="-120" windowWidth="38640" windowHeight="21120" xr2:uid="{00000000-000D-0000-FFFF-FFFF00000000}"/>
  </bookViews>
  <sheets>
    <sheet name="Лист4" sheetId="4" r:id="rId1"/>
    <sheet name="Лист1" sheetId="1" r:id="rId2"/>
    <sheet name="Лист2" sheetId="2" r:id="rId3"/>
  </sheets>
  <calcPr calcId="191029"/>
  <pivotCaches>
    <pivotCache cacheId="3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E2" i="1"/>
  <c r="H2" i="1" s="1"/>
  <c r="E5" i="1"/>
  <c r="H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H3" i="1" s="1"/>
  <c r="E4" i="1"/>
  <c r="H4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</calcChain>
</file>

<file path=xl/sharedStrings.xml><?xml version="1.0" encoding="utf-8"?>
<sst xmlns="http://schemas.openxmlformats.org/spreadsheetml/2006/main" count="1105" uniqueCount="36">
  <si>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</si>
  <si>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</si>
  <si>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</si>
  <si>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</si>
  <si>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</si>
  <si>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</si>
  <si>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</si>
  <si>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</si>
  <si>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</si>
  <si>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</si>
  <si>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</si>
  <si>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</si>
  <si>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</si>
  <si>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</si>
  <si>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</si>
  <si>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</si>
  <si>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</si>
  <si>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</si>
  <si>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</si>
  <si>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</si>
  <si>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</si>
  <si>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</si>
  <si>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</si>
  <si>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</si>
  <si>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</si>
  <si>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</si>
  <si>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</si>
  <si>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</si>
  <si>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Сумма по полю Товарооборот, руб</t>
  </si>
  <si>
    <t>Сумма по полю Товарооборот на склад</t>
  </si>
  <si>
    <t>Сумма по полю Количество складов</t>
  </si>
  <si>
    <t>Сумма по полю Товарооборот, руб2</t>
  </si>
  <si>
    <t>Доля в общем обороте</t>
  </si>
  <si>
    <t>Территории по товарообороту на склад за последнюю неделю</t>
  </si>
  <si>
    <t>Сводная таблица в разрезе недель и территорий</t>
  </si>
  <si>
    <t xml:space="preserve"> Товарооборот,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</si>
</sst>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8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Товарооборот, шт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Лист1!$I$1</c:f>
              <c:strCache>
                <c:ptCount val="1"/>
                <c:pt idx="0">
                  <c:v>Неделя</c:v>
                </c:pt>
              </c:strCache>
            </c:strRef>
          </c:cat>
          <c:val>
            <c:numRef>
              <c:f>Лист1!$C$2:$C$505</c:f>
              <c:numCache>
                <c:formatCode>General</c:formatCode>
                <c:ptCount val="504"/>
                <c:pt idx="0">
                  <c:v>7944</c:v>
                </c:pt>
                <c:pt idx="1">
                  <c:v>10029</c:v>
                </c:pt>
                <c:pt idx="2">
                  <c:v>8536.5</c:v>
                </c:pt>
                <c:pt idx="3">
                  <c:v>38947.5</c:v>
                </c:pt>
                <c:pt idx="4">
                  <c:v>31842</c:v>
                </c:pt>
                <c:pt idx="5">
                  <c:v>32023.5</c:v>
                </c:pt>
                <c:pt idx="6">
                  <c:v>31147.5</c:v>
                </c:pt>
                <c:pt idx="7">
                  <c:v>25566</c:v>
                </c:pt>
                <c:pt idx="8">
                  <c:v>29319</c:v>
                </c:pt>
                <c:pt idx="9">
                  <c:v>29031</c:v>
                </c:pt>
                <c:pt idx="10">
                  <c:v>33423</c:v>
                </c:pt>
                <c:pt idx="11">
                  <c:v>32487</c:v>
                </c:pt>
                <c:pt idx="12">
                  <c:v>28219.5</c:v>
                </c:pt>
                <c:pt idx="13">
                  <c:v>31272</c:v>
                </c:pt>
                <c:pt idx="14">
                  <c:v>34077</c:v>
                </c:pt>
                <c:pt idx="15">
                  <c:v>31566</c:v>
                </c:pt>
                <c:pt idx="16">
                  <c:v>26940</c:v>
                </c:pt>
                <c:pt idx="17">
                  <c:v>29241</c:v>
                </c:pt>
                <c:pt idx="18">
                  <c:v>26082</c:v>
                </c:pt>
                <c:pt idx="19">
                  <c:v>32511</c:v>
                </c:pt>
                <c:pt idx="20">
                  <c:v>42703.5</c:v>
                </c:pt>
                <c:pt idx="21">
                  <c:v>35592</c:v>
                </c:pt>
                <c:pt idx="22">
                  <c:v>30445.5</c:v>
                </c:pt>
                <c:pt idx="23">
                  <c:v>36619.5</c:v>
                </c:pt>
                <c:pt idx="24">
                  <c:v>29409</c:v>
                </c:pt>
                <c:pt idx="25">
                  <c:v>27018</c:v>
                </c:pt>
                <c:pt idx="26">
                  <c:v>34303.5</c:v>
                </c:pt>
                <c:pt idx="27">
                  <c:v>36999</c:v>
                </c:pt>
                <c:pt idx="28">
                  <c:v>44001</c:v>
                </c:pt>
                <c:pt idx="29">
                  <c:v>30982.5</c:v>
                </c:pt>
                <c:pt idx="30">
                  <c:v>88063.5</c:v>
                </c:pt>
                <c:pt idx="31">
                  <c:v>84024</c:v>
                </c:pt>
                <c:pt idx="32">
                  <c:v>78057</c:v>
                </c:pt>
                <c:pt idx="33">
                  <c:v>69720</c:v>
                </c:pt>
                <c:pt idx="34">
                  <c:v>72928.5</c:v>
                </c:pt>
                <c:pt idx="35">
                  <c:v>79527</c:v>
                </c:pt>
                <c:pt idx="36">
                  <c:v>60463.5</c:v>
                </c:pt>
                <c:pt idx="37">
                  <c:v>79975.5</c:v>
                </c:pt>
                <c:pt idx="38">
                  <c:v>97534.5</c:v>
                </c:pt>
                <c:pt idx="39">
                  <c:v>71520</c:v>
                </c:pt>
                <c:pt idx="40">
                  <c:v>79485</c:v>
                </c:pt>
                <c:pt idx="41">
                  <c:v>93313.5</c:v>
                </c:pt>
                <c:pt idx="42">
                  <c:v>76585.5</c:v>
                </c:pt>
                <c:pt idx="43">
                  <c:v>81826.5</c:v>
                </c:pt>
                <c:pt idx="44">
                  <c:v>78846</c:v>
                </c:pt>
                <c:pt idx="45">
                  <c:v>77263.5</c:v>
                </c:pt>
                <c:pt idx="46">
                  <c:v>68994</c:v>
                </c:pt>
                <c:pt idx="47">
                  <c:v>102889.5</c:v>
                </c:pt>
                <c:pt idx="48">
                  <c:v>76999.5</c:v>
                </c:pt>
                <c:pt idx="49">
                  <c:v>77565</c:v>
                </c:pt>
                <c:pt idx="50">
                  <c:v>84132</c:v>
                </c:pt>
                <c:pt idx="51">
                  <c:v>69544.5</c:v>
                </c:pt>
                <c:pt idx="52">
                  <c:v>73204.5</c:v>
                </c:pt>
                <c:pt idx="53">
                  <c:v>76663.5</c:v>
                </c:pt>
                <c:pt idx="54">
                  <c:v>14265</c:v>
                </c:pt>
                <c:pt idx="55">
                  <c:v>11526</c:v>
                </c:pt>
                <c:pt idx="56">
                  <c:v>10402.5</c:v>
                </c:pt>
                <c:pt idx="57">
                  <c:v>13216.5</c:v>
                </c:pt>
                <c:pt idx="58">
                  <c:v>9130.5</c:v>
                </c:pt>
                <c:pt idx="59">
                  <c:v>10840.5</c:v>
                </c:pt>
                <c:pt idx="60">
                  <c:v>7866</c:v>
                </c:pt>
                <c:pt idx="61">
                  <c:v>11835</c:v>
                </c:pt>
                <c:pt idx="62">
                  <c:v>11619</c:v>
                </c:pt>
                <c:pt idx="63">
                  <c:v>9328.5</c:v>
                </c:pt>
                <c:pt idx="64">
                  <c:v>11250</c:v>
                </c:pt>
                <c:pt idx="65">
                  <c:v>13063.5</c:v>
                </c:pt>
                <c:pt idx="66">
                  <c:v>10147.5</c:v>
                </c:pt>
                <c:pt idx="67">
                  <c:v>12331.5</c:v>
                </c:pt>
                <c:pt idx="68">
                  <c:v>11202</c:v>
                </c:pt>
                <c:pt idx="69">
                  <c:v>89149.5</c:v>
                </c:pt>
                <c:pt idx="70">
                  <c:v>8185.5</c:v>
                </c:pt>
                <c:pt idx="71">
                  <c:v>108123</c:v>
                </c:pt>
                <c:pt idx="72">
                  <c:v>9210</c:v>
                </c:pt>
                <c:pt idx="73">
                  <c:v>14773.5</c:v>
                </c:pt>
                <c:pt idx="74">
                  <c:v>78141</c:v>
                </c:pt>
                <c:pt idx="75">
                  <c:v>12280.5</c:v>
                </c:pt>
                <c:pt idx="76">
                  <c:v>8934</c:v>
                </c:pt>
                <c:pt idx="77">
                  <c:v>12918</c:v>
                </c:pt>
                <c:pt idx="78">
                  <c:v>12528</c:v>
                </c:pt>
                <c:pt idx="79">
                  <c:v>11029.5</c:v>
                </c:pt>
                <c:pt idx="80">
                  <c:v>9994.5</c:v>
                </c:pt>
                <c:pt idx="81">
                  <c:v>12724.5</c:v>
                </c:pt>
                <c:pt idx="82">
                  <c:v>14728.5</c:v>
                </c:pt>
                <c:pt idx="83">
                  <c:v>13038</c:v>
                </c:pt>
                <c:pt idx="84">
                  <c:v>35482.5</c:v>
                </c:pt>
                <c:pt idx="85">
                  <c:v>32434.5</c:v>
                </c:pt>
                <c:pt idx="86">
                  <c:v>30486</c:v>
                </c:pt>
                <c:pt idx="87">
                  <c:v>32079</c:v>
                </c:pt>
                <c:pt idx="88">
                  <c:v>27072</c:v>
                </c:pt>
                <c:pt idx="89">
                  <c:v>25917</c:v>
                </c:pt>
                <c:pt idx="90">
                  <c:v>19461</c:v>
                </c:pt>
                <c:pt idx="91">
                  <c:v>31407</c:v>
                </c:pt>
                <c:pt idx="92">
                  <c:v>25792.5</c:v>
                </c:pt>
                <c:pt idx="93">
                  <c:v>26032.5</c:v>
                </c:pt>
                <c:pt idx="94">
                  <c:v>31707</c:v>
                </c:pt>
                <c:pt idx="95">
                  <c:v>29955</c:v>
                </c:pt>
                <c:pt idx="96">
                  <c:v>22848</c:v>
                </c:pt>
                <c:pt idx="97">
                  <c:v>23314.5</c:v>
                </c:pt>
                <c:pt idx="98">
                  <c:v>26464.5</c:v>
                </c:pt>
                <c:pt idx="99">
                  <c:v>23539.5</c:v>
                </c:pt>
                <c:pt idx="100">
                  <c:v>24678</c:v>
                </c:pt>
                <c:pt idx="101">
                  <c:v>38176.5</c:v>
                </c:pt>
                <c:pt idx="102">
                  <c:v>30603</c:v>
                </c:pt>
                <c:pt idx="103">
                  <c:v>24211.5</c:v>
                </c:pt>
                <c:pt idx="104">
                  <c:v>31399.5</c:v>
                </c:pt>
                <c:pt idx="105">
                  <c:v>25294.5</c:v>
                </c:pt>
                <c:pt idx="106">
                  <c:v>25468.5</c:v>
                </c:pt>
                <c:pt idx="107">
                  <c:v>31854</c:v>
                </c:pt>
                <c:pt idx="108">
                  <c:v>32359.5</c:v>
                </c:pt>
                <c:pt idx="109">
                  <c:v>39867</c:v>
                </c:pt>
                <c:pt idx="110">
                  <c:v>31974</c:v>
                </c:pt>
                <c:pt idx="111">
                  <c:v>321412.5</c:v>
                </c:pt>
                <c:pt idx="112">
                  <c:v>276568.5</c:v>
                </c:pt>
                <c:pt idx="113">
                  <c:v>269029.5</c:v>
                </c:pt>
                <c:pt idx="114">
                  <c:v>285972</c:v>
                </c:pt>
                <c:pt idx="115">
                  <c:v>283942.5</c:v>
                </c:pt>
                <c:pt idx="116">
                  <c:v>298059</c:v>
                </c:pt>
                <c:pt idx="117">
                  <c:v>232903.5</c:v>
                </c:pt>
                <c:pt idx="118">
                  <c:v>276966</c:v>
                </c:pt>
                <c:pt idx="119">
                  <c:v>296149.5</c:v>
                </c:pt>
                <c:pt idx="120">
                  <c:v>281796</c:v>
                </c:pt>
                <c:pt idx="121">
                  <c:v>288936</c:v>
                </c:pt>
                <c:pt idx="122">
                  <c:v>300151.5</c:v>
                </c:pt>
                <c:pt idx="123">
                  <c:v>262734</c:v>
                </c:pt>
                <c:pt idx="124">
                  <c:v>286002</c:v>
                </c:pt>
                <c:pt idx="125">
                  <c:v>258459</c:v>
                </c:pt>
                <c:pt idx="126">
                  <c:v>274083</c:v>
                </c:pt>
                <c:pt idx="127">
                  <c:v>277512</c:v>
                </c:pt>
                <c:pt idx="128">
                  <c:v>356982</c:v>
                </c:pt>
                <c:pt idx="129">
                  <c:v>266983.5</c:v>
                </c:pt>
                <c:pt idx="130">
                  <c:v>311131.5</c:v>
                </c:pt>
                <c:pt idx="131">
                  <c:v>287206.5</c:v>
                </c:pt>
                <c:pt idx="132">
                  <c:v>370092</c:v>
                </c:pt>
                <c:pt idx="133">
                  <c:v>247813.5</c:v>
                </c:pt>
                <c:pt idx="134">
                  <c:v>287740.5</c:v>
                </c:pt>
                <c:pt idx="135">
                  <c:v>408810</c:v>
                </c:pt>
                <c:pt idx="136">
                  <c:v>362536.5</c:v>
                </c:pt>
                <c:pt idx="137">
                  <c:v>357072</c:v>
                </c:pt>
                <c:pt idx="138">
                  <c:v>359214</c:v>
                </c:pt>
                <c:pt idx="139">
                  <c:v>360255</c:v>
                </c:pt>
                <c:pt idx="140">
                  <c:v>387220.5</c:v>
                </c:pt>
                <c:pt idx="141">
                  <c:v>296580</c:v>
                </c:pt>
                <c:pt idx="142">
                  <c:v>369861</c:v>
                </c:pt>
                <c:pt idx="143">
                  <c:v>372504</c:v>
                </c:pt>
                <c:pt idx="144">
                  <c:v>373392</c:v>
                </c:pt>
                <c:pt idx="145">
                  <c:v>378043.5</c:v>
                </c:pt>
                <c:pt idx="146">
                  <c:v>388668</c:v>
                </c:pt>
                <c:pt idx="147">
                  <c:v>333792</c:v>
                </c:pt>
                <c:pt idx="148">
                  <c:v>376060.5</c:v>
                </c:pt>
                <c:pt idx="149">
                  <c:v>350068.5</c:v>
                </c:pt>
                <c:pt idx="150">
                  <c:v>294337.5</c:v>
                </c:pt>
                <c:pt idx="151">
                  <c:v>342666</c:v>
                </c:pt>
                <c:pt idx="152">
                  <c:v>364882.5</c:v>
                </c:pt>
                <c:pt idx="153">
                  <c:v>355278</c:v>
                </c:pt>
                <c:pt idx="154">
                  <c:v>456885</c:v>
                </c:pt>
                <c:pt idx="155">
                  <c:v>278491.5</c:v>
                </c:pt>
                <c:pt idx="156">
                  <c:v>349734</c:v>
                </c:pt>
                <c:pt idx="157">
                  <c:v>401580</c:v>
                </c:pt>
                <c:pt idx="158">
                  <c:v>368649</c:v>
                </c:pt>
                <c:pt idx="159">
                  <c:v>463530</c:v>
                </c:pt>
                <c:pt idx="160">
                  <c:v>319110</c:v>
                </c:pt>
                <c:pt idx="161">
                  <c:v>375744</c:v>
                </c:pt>
                <c:pt idx="162">
                  <c:v>81331.5</c:v>
                </c:pt>
                <c:pt idx="163">
                  <c:v>75796.5</c:v>
                </c:pt>
                <c:pt idx="164">
                  <c:v>72861</c:v>
                </c:pt>
                <c:pt idx="165">
                  <c:v>83373</c:v>
                </c:pt>
                <c:pt idx="166">
                  <c:v>64108.5</c:v>
                </c:pt>
                <c:pt idx="167">
                  <c:v>74707.5</c:v>
                </c:pt>
                <c:pt idx="168">
                  <c:v>46216.5</c:v>
                </c:pt>
                <c:pt idx="169">
                  <c:v>67726.5</c:v>
                </c:pt>
                <c:pt idx="170">
                  <c:v>82228.5</c:v>
                </c:pt>
                <c:pt idx="171">
                  <c:v>64390.5</c:v>
                </c:pt>
                <c:pt idx="172">
                  <c:v>73126.5</c:v>
                </c:pt>
                <c:pt idx="173">
                  <c:v>99631.5</c:v>
                </c:pt>
                <c:pt idx="174">
                  <c:v>66396</c:v>
                </c:pt>
                <c:pt idx="175">
                  <c:v>73147.5</c:v>
                </c:pt>
                <c:pt idx="176">
                  <c:v>73062</c:v>
                </c:pt>
                <c:pt idx="177">
                  <c:v>379663.5</c:v>
                </c:pt>
                <c:pt idx="178">
                  <c:v>70581</c:v>
                </c:pt>
                <c:pt idx="179">
                  <c:v>453123</c:v>
                </c:pt>
                <c:pt idx="180">
                  <c:v>63012</c:v>
                </c:pt>
                <c:pt idx="181">
                  <c:v>89556</c:v>
                </c:pt>
                <c:pt idx="182">
                  <c:v>364638</c:v>
                </c:pt>
                <c:pt idx="183">
                  <c:v>66316.5</c:v>
                </c:pt>
                <c:pt idx="184">
                  <c:v>78235.5</c:v>
                </c:pt>
                <c:pt idx="185">
                  <c:v>88311</c:v>
                </c:pt>
                <c:pt idx="186">
                  <c:v>61804.5</c:v>
                </c:pt>
                <c:pt idx="187">
                  <c:v>71067</c:v>
                </c:pt>
                <c:pt idx="188">
                  <c:v>74649</c:v>
                </c:pt>
                <c:pt idx="189">
                  <c:v>44560.5</c:v>
                </c:pt>
                <c:pt idx="190">
                  <c:v>38250</c:v>
                </c:pt>
                <c:pt idx="191">
                  <c:v>34830</c:v>
                </c:pt>
                <c:pt idx="192">
                  <c:v>32239.5</c:v>
                </c:pt>
                <c:pt idx="193">
                  <c:v>30780</c:v>
                </c:pt>
                <c:pt idx="194">
                  <c:v>29142</c:v>
                </c:pt>
                <c:pt idx="195">
                  <c:v>26428.5</c:v>
                </c:pt>
                <c:pt idx="196">
                  <c:v>40744.5</c:v>
                </c:pt>
                <c:pt idx="197">
                  <c:v>46620</c:v>
                </c:pt>
                <c:pt idx="198">
                  <c:v>32419.5</c:v>
                </c:pt>
                <c:pt idx="199">
                  <c:v>40819.5</c:v>
                </c:pt>
                <c:pt idx="200">
                  <c:v>41391</c:v>
                </c:pt>
                <c:pt idx="201">
                  <c:v>29482.5</c:v>
                </c:pt>
                <c:pt idx="202">
                  <c:v>32181</c:v>
                </c:pt>
                <c:pt idx="203">
                  <c:v>35535</c:v>
                </c:pt>
                <c:pt idx="204">
                  <c:v>76234.5</c:v>
                </c:pt>
                <c:pt idx="205">
                  <c:v>29935.5</c:v>
                </c:pt>
                <c:pt idx="206">
                  <c:v>106926</c:v>
                </c:pt>
                <c:pt idx="207">
                  <c:v>30342</c:v>
                </c:pt>
                <c:pt idx="208">
                  <c:v>42999</c:v>
                </c:pt>
                <c:pt idx="209">
                  <c:v>69945</c:v>
                </c:pt>
                <c:pt idx="210">
                  <c:v>38740.5</c:v>
                </c:pt>
                <c:pt idx="211">
                  <c:v>31231.5</c:v>
                </c:pt>
                <c:pt idx="212">
                  <c:v>37489.5</c:v>
                </c:pt>
                <c:pt idx="213">
                  <c:v>34399.5</c:v>
                </c:pt>
                <c:pt idx="214">
                  <c:v>32851.5</c:v>
                </c:pt>
                <c:pt idx="215">
                  <c:v>38194.5</c:v>
                </c:pt>
                <c:pt idx="216">
                  <c:v>42423</c:v>
                </c:pt>
                <c:pt idx="217">
                  <c:v>48286.5</c:v>
                </c:pt>
                <c:pt idx="218">
                  <c:v>41442</c:v>
                </c:pt>
                <c:pt idx="219">
                  <c:v>18600</c:v>
                </c:pt>
                <c:pt idx="220">
                  <c:v>16638</c:v>
                </c:pt>
                <c:pt idx="221">
                  <c:v>15609</c:v>
                </c:pt>
                <c:pt idx="222">
                  <c:v>13948.5</c:v>
                </c:pt>
                <c:pt idx="223">
                  <c:v>12301.5</c:v>
                </c:pt>
                <c:pt idx="224">
                  <c:v>13014</c:v>
                </c:pt>
                <c:pt idx="225">
                  <c:v>12313.5</c:v>
                </c:pt>
                <c:pt idx="226">
                  <c:v>17391</c:v>
                </c:pt>
                <c:pt idx="227">
                  <c:v>17113.5</c:v>
                </c:pt>
                <c:pt idx="228">
                  <c:v>12802.5</c:v>
                </c:pt>
                <c:pt idx="229">
                  <c:v>16554</c:v>
                </c:pt>
                <c:pt idx="230">
                  <c:v>17329.5</c:v>
                </c:pt>
                <c:pt idx="231">
                  <c:v>15987</c:v>
                </c:pt>
                <c:pt idx="232">
                  <c:v>13303.5</c:v>
                </c:pt>
                <c:pt idx="233">
                  <c:v>14305.5</c:v>
                </c:pt>
                <c:pt idx="234">
                  <c:v>12924</c:v>
                </c:pt>
                <c:pt idx="235">
                  <c:v>14061</c:v>
                </c:pt>
                <c:pt idx="236">
                  <c:v>21958.5</c:v>
                </c:pt>
                <c:pt idx="237">
                  <c:v>17211</c:v>
                </c:pt>
                <c:pt idx="238">
                  <c:v>12753</c:v>
                </c:pt>
                <c:pt idx="239">
                  <c:v>16435.5</c:v>
                </c:pt>
                <c:pt idx="240">
                  <c:v>14494.5</c:v>
                </c:pt>
                <c:pt idx="241">
                  <c:v>12705</c:v>
                </c:pt>
                <c:pt idx="242">
                  <c:v>18075</c:v>
                </c:pt>
                <c:pt idx="243">
                  <c:v>13120.5</c:v>
                </c:pt>
                <c:pt idx="244">
                  <c:v>16237.5</c:v>
                </c:pt>
                <c:pt idx="245">
                  <c:v>11967</c:v>
                </c:pt>
                <c:pt idx="246">
                  <c:v>12037.5</c:v>
                </c:pt>
                <c:pt idx="247">
                  <c:v>7087.5</c:v>
                </c:pt>
                <c:pt idx="248">
                  <c:v>25816.5</c:v>
                </c:pt>
                <c:pt idx="249">
                  <c:v>4624.5</c:v>
                </c:pt>
                <c:pt idx="250">
                  <c:v>12259.5</c:v>
                </c:pt>
                <c:pt idx="251">
                  <c:v>5446.5</c:v>
                </c:pt>
                <c:pt idx="252">
                  <c:v>11296.5</c:v>
                </c:pt>
                <c:pt idx="253">
                  <c:v>12135</c:v>
                </c:pt>
                <c:pt idx="254">
                  <c:v>12630</c:v>
                </c:pt>
                <c:pt idx="255">
                  <c:v>8223</c:v>
                </c:pt>
                <c:pt idx="256">
                  <c:v>25149</c:v>
                </c:pt>
                <c:pt idx="257">
                  <c:v>10401</c:v>
                </c:pt>
                <c:pt idx="258">
                  <c:v>17689.5</c:v>
                </c:pt>
                <c:pt idx="259">
                  <c:v>8127</c:v>
                </c:pt>
                <c:pt idx="260">
                  <c:v>27250.5</c:v>
                </c:pt>
                <c:pt idx="261">
                  <c:v>8464.5</c:v>
                </c:pt>
                <c:pt idx="262">
                  <c:v>14167.5</c:v>
                </c:pt>
                <c:pt idx="263">
                  <c:v>16500</c:v>
                </c:pt>
                <c:pt idx="264">
                  <c:v>13260</c:v>
                </c:pt>
                <c:pt idx="265">
                  <c:v>4285.5</c:v>
                </c:pt>
                <c:pt idx="266">
                  <c:v>13440</c:v>
                </c:pt>
                <c:pt idx="267">
                  <c:v>9058.5</c:v>
                </c:pt>
                <c:pt idx="268">
                  <c:v>8719.5</c:v>
                </c:pt>
                <c:pt idx="269">
                  <c:v>12666</c:v>
                </c:pt>
                <c:pt idx="270">
                  <c:v>34563</c:v>
                </c:pt>
                <c:pt idx="271">
                  <c:v>28882.5</c:v>
                </c:pt>
                <c:pt idx="272">
                  <c:v>28275</c:v>
                </c:pt>
                <c:pt idx="273">
                  <c:v>26271</c:v>
                </c:pt>
                <c:pt idx="274">
                  <c:v>23587.5</c:v>
                </c:pt>
                <c:pt idx="275">
                  <c:v>18427.5</c:v>
                </c:pt>
                <c:pt idx="276">
                  <c:v>27156</c:v>
                </c:pt>
                <c:pt idx="277">
                  <c:v>35190</c:v>
                </c:pt>
                <c:pt idx="278">
                  <c:v>25483.5</c:v>
                </c:pt>
                <c:pt idx="279">
                  <c:v>25362</c:v>
                </c:pt>
                <c:pt idx="280">
                  <c:v>28849.5</c:v>
                </c:pt>
                <c:pt idx="281">
                  <c:v>26367</c:v>
                </c:pt>
                <c:pt idx="282">
                  <c:v>25539</c:v>
                </c:pt>
                <c:pt idx="283">
                  <c:v>14808</c:v>
                </c:pt>
                <c:pt idx="284">
                  <c:v>21343.5</c:v>
                </c:pt>
                <c:pt idx="285">
                  <c:v>17946</c:v>
                </c:pt>
                <c:pt idx="286">
                  <c:v>24337.5</c:v>
                </c:pt>
                <c:pt idx="287">
                  <c:v>36997.5</c:v>
                </c:pt>
                <c:pt idx="288">
                  <c:v>13864.5</c:v>
                </c:pt>
                <c:pt idx="289">
                  <c:v>28494</c:v>
                </c:pt>
                <c:pt idx="290">
                  <c:v>27883.5</c:v>
                </c:pt>
                <c:pt idx="291">
                  <c:v>31224</c:v>
                </c:pt>
                <c:pt idx="292">
                  <c:v>25020</c:v>
                </c:pt>
                <c:pt idx="293">
                  <c:v>26184</c:v>
                </c:pt>
                <c:pt idx="294">
                  <c:v>29824.5</c:v>
                </c:pt>
                <c:pt idx="295">
                  <c:v>208351.5</c:v>
                </c:pt>
                <c:pt idx="296">
                  <c:v>204637.5</c:v>
                </c:pt>
                <c:pt idx="297">
                  <c:v>31372.5</c:v>
                </c:pt>
                <c:pt idx="298">
                  <c:v>34681.5</c:v>
                </c:pt>
                <c:pt idx="299">
                  <c:v>28197</c:v>
                </c:pt>
                <c:pt idx="300">
                  <c:v>236551.5</c:v>
                </c:pt>
                <c:pt idx="301">
                  <c:v>223597.5</c:v>
                </c:pt>
                <c:pt idx="302">
                  <c:v>193363.5</c:v>
                </c:pt>
                <c:pt idx="303">
                  <c:v>188319</c:v>
                </c:pt>
                <c:pt idx="304">
                  <c:v>237544.5</c:v>
                </c:pt>
                <c:pt idx="305">
                  <c:v>203209.5</c:v>
                </c:pt>
                <c:pt idx="306">
                  <c:v>185979</c:v>
                </c:pt>
                <c:pt idx="307">
                  <c:v>244905</c:v>
                </c:pt>
                <c:pt idx="308">
                  <c:v>239409</c:v>
                </c:pt>
                <c:pt idx="309">
                  <c:v>192886.5</c:v>
                </c:pt>
                <c:pt idx="310">
                  <c:v>224233.5</c:v>
                </c:pt>
                <c:pt idx="311">
                  <c:v>219622.5</c:v>
                </c:pt>
                <c:pt idx="312">
                  <c:v>213582</c:v>
                </c:pt>
                <c:pt idx="313">
                  <c:v>195705</c:v>
                </c:pt>
                <c:pt idx="314">
                  <c:v>193722</c:v>
                </c:pt>
                <c:pt idx="315">
                  <c:v>257215.5</c:v>
                </c:pt>
                <c:pt idx="316">
                  <c:v>224779.5</c:v>
                </c:pt>
                <c:pt idx="317">
                  <c:v>292018.5</c:v>
                </c:pt>
                <c:pt idx="318">
                  <c:v>198751.5</c:v>
                </c:pt>
                <c:pt idx="319">
                  <c:v>214386</c:v>
                </c:pt>
                <c:pt idx="320">
                  <c:v>243825</c:v>
                </c:pt>
                <c:pt idx="321">
                  <c:v>232701</c:v>
                </c:pt>
                <c:pt idx="322">
                  <c:v>219411</c:v>
                </c:pt>
                <c:pt idx="323">
                  <c:v>200029.5</c:v>
                </c:pt>
                <c:pt idx="324">
                  <c:v>225480</c:v>
                </c:pt>
                <c:pt idx="325">
                  <c:v>211453.5</c:v>
                </c:pt>
                <c:pt idx="326">
                  <c:v>184801.5</c:v>
                </c:pt>
                <c:pt idx="327">
                  <c:v>177976.5</c:v>
                </c:pt>
                <c:pt idx="328">
                  <c:v>223617</c:v>
                </c:pt>
                <c:pt idx="329">
                  <c:v>176397</c:v>
                </c:pt>
                <c:pt idx="330">
                  <c:v>232369.5</c:v>
                </c:pt>
                <c:pt idx="331">
                  <c:v>226540.5</c:v>
                </c:pt>
                <c:pt idx="332">
                  <c:v>189679.5</c:v>
                </c:pt>
                <c:pt idx="333">
                  <c:v>213640.5</c:v>
                </c:pt>
                <c:pt idx="334">
                  <c:v>214885.5</c:v>
                </c:pt>
                <c:pt idx="335">
                  <c:v>203832</c:v>
                </c:pt>
                <c:pt idx="336">
                  <c:v>188662.5</c:v>
                </c:pt>
                <c:pt idx="337">
                  <c:v>215277</c:v>
                </c:pt>
                <c:pt idx="338">
                  <c:v>248148</c:v>
                </c:pt>
                <c:pt idx="339">
                  <c:v>246414</c:v>
                </c:pt>
                <c:pt idx="340">
                  <c:v>216498</c:v>
                </c:pt>
                <c:pt idx="341">
                  <c:v>275793</c:v>
                </c:pt>
                <c:pt idx="342">
                  <c:v>199753.5</c:v>
                </c:pt>
                <c:pt idx="343">
                  <c:v>192948</c:v>
                </c:pt>
                <c:pt idx="344">
                  <c:v>206038.5</c:v>
                </c:pt>
                <c:pt idx="345">
                  <c:v>231559.5</c:v>
                </c:pt>
                <c:pt idx="346">
                  <c:v>225076.5</c:v>
                </c:pt>
                <c:pt idx="347">
                  <c:v>209415</c:v>
                </c:pt>
                <c:pt idx="348">
                  <c:v>193719</c:v>
                </c:pt>
                <c:pt idx="349">
                  <c:v>12250.5</c:v>
                </c:pt>
                <c:pt idx="350">
                  <c:v>12541.5</c:v>
                </c:pt>
                <c:pt idx="351">
                  <c:v>206758.5</c:v>
                </c:pt>
                <c:pt idx="352">
                  <c:v>244734</c:v>
                </c:pt>
                <c:pt idx="353">
                  <c:v>191641.5</c:v>
                </c:pt>
                <c:pt idx="354">
                  <c:v>16368</c:v>
                </c:pt>
                <c:pt idx="355">
                  <c:v>14427</c:v>
                </c:pt>
                <c:pt idx="356">
                  <c:v>13440</c:v>
                </c:pt>
                <c:pt idx="357">
                  <c:v>11745</c:v>
                </c:pt>
                <c:pt idx="358">
                  <c:v>11062.5</c:v>
                </c:pt>
                <c:pt idx="359">
                  <c:v>10018.5</c:v>
                </c:pt>
                <c:pt idx="360">
                  <c:v>10437</c:v>
                </c:pt>
                <c:pt idx="361">
                  <c:v>13644</c:v>
                </c:pt>
                <c:pt idx="362">
                  <c:v>13443</c:v>
                </c:pt>
                <c:pt idx="363">
                  <c:v>14182.5</c:v>
                </c:pt>
                <c:pt idx="364">
                  <c:v>14928</c:v>
                </c:pt>
                <c:pt idx="365">
                  <c:v>13941</c:v>
                </c:pt>
                <c:pt idx="366">
                  <c:v>14643</c:v>
                </c:pt>
                <c:pt idx="367">
                  <c:v>10032</c:v>
                </c:pt>
                <c:pt idx="368">
                  <c:v>12468</c:v>
                </c:pt>
                <c:pt idx="369">
                  <c:v>17943</c:v>
                </c:pt>
                <c:pt idx="370">
                  <c:v>15807</c:v>
                </c:pt>
                <c:pt idx="371">
                  <c:v>11976</c:v>
                </c:pt>
                <c:pt idx="372">
                  <c:v>14566.5</c:v>
                </c:pt>
                <c:pt idx="373">
                  <c:v>12976.5</c:v>
                </c:pt>
                <c:pt idx="374">
                  <c:v>11719.5</c:v>
                </c:pt>
                <c:pt idx="375">
                  <c:v>17197.5</c:v>
                </c:pt>
                <c:pt idx="376">
                  <c:v>14419.5</c:v>
                </c:pt>
                <c:pt idx="377">
                  <c:v>7816.5</c:v>
                </c:pt>
                <c:pt idx="378">
                  <c:v>6409.5</c:v>
                </c:pt>
                <c:pt idx="379">
                  <c:v>11220</c:v>
                </c:pt>
                <c:pt idx="380">
                  <c:v>8350.5</c:v>
                </c:pt>
                <c:pt idx="381">
                  <c:v>8428.5</c:v>
                </c:pt>
                <c:pt idx="382">
                  <c:v>32817</c:v>
                </c:pt>
                <c:pt idx="383">
                  <c:v>36031.5</c:v>
                </c:pt>
                <c:pt idx="384">
                  <c:v>5127</c:v>
                </c:pt>
                <c:pt idx="385">
                  <c:v>27187.5</c:v>
                </c:pt>
                <c:pt idx="386">
                  <c:v>20688</c:v>
                </c:pt>
                <c:pt idx="387">
                  <c:v>15678</c:v>
                </c:pt>
                <c:pt idx="388">
                  <c:v>31329</c:v>
                </c:pt>
                <c:pt idx="389">
                  <c:v>29658</c:v>
                </c:pt>
                <c:pt idx="390">
                  <c:v>34150.5</c:v>
                </c:pt>
                <c:pt idx="391">
                  <c:v>31947</c:v>
                </c:pt>
                <c:pt idx="392">
                  <c:v>10416</c:v>
                </c:pt>
                <c:pt idx="393">
                  <c:v>35431.5</c:v>
                </c:pt>
                <c:pt idx="394">
                  <c:v>78544.5</c:v>
                </c:pt>
                <c:pt idx="395">
                  <c:v>97963.5</c:v>
                </c:pt>
                <c:pt idx="396">
                  <c:v>77269.5</c:v>
                </c:pt>
                <c:pt idx="397">
                  <c:v>16143</c:v>
                </c:pt>
                <c:pt idx="398">
                  <c:v>72220.5</c:v>
                </c:pt>
                <c:pt idx="399">
                  <c:v>78058.5</c:v>
                </c:pt>
                <c:pt idx="400">
                  <c:v>70498.5</c:v>
                </c:pt>
                <c:pt idx="401">
                  <c:v>78961.5</c:v>
                </c:pt>
                <c:pt idx="402">
                  <c:v>12490.5</c:v>
                </c:pt>
                <c:pt idx="403">
                  <c:v>18036</c:v>
                </c:pt>
                <c:pt idx="404">
                  <c:v>11416.5</c:v>
                </c:pt>
                <c:pt idx="405">
                  <c:v>9007.5</c:v>
                </c:pt>
                <c:pt idx="406">
                  <c:v>87552</c:v>
                </c:pt>
                <c:pt idx="407">
                  <c:v>11680.5</c:v>
                </c:pt>
                <c:pt idx="408">
                  <c:v>12037.5</c:v>
                </c:pt>
                <c:pt idx="409">
                  <c:v>14421</c:v>
                </c:pt>
                <c:pt idx="410">
                  <c:v>14823</c:v>
                </c:pt>
                <c:pt idx="411">
                  <c:v>31257</c:v>
                </c:pt>
                <c:pt idx="412">
                  <c:v>38074.5</c:v>
                </c:pt>
                <c:pt idx="413">
                  <c:v>32170.5</c:v>
                </c:pt>
                <c:pt idx="414">
                  <c:v>42397.5</c:v>
                </c:pt>
                <c:pt idx="415">
                  <c:v>28668</c:v>
                </c:pt>
                <c:pt idx="416">
                  <c:v>27411</c:v>
                </c:pt>
                <c:pt idx="417">
                  <c:v>32854.5</c:v>
                </c:pt>
                <c:pt idx="418">
                  <c:v>35346</c:v>
                </c:pt>
                <c:pt idx="419">
                  <c:v>286558.5</c:v>
                </c:pt>
                <c:pt idx="420">
                  <c:v>304092</c:v>
                </c:pt>
                <c:pt idx="421">
                  <c:v>272926.5</c:v>
                </c:pt>
                <c:pt idx="422">
                  <c:v>237099</c:v>
                </c:pt>
                <c:pt idx="423">
                  <c:v>273900</c:v>
                </c:pt>
                <c:pt idx="424">
                  <c:v>274059</c:v>
                </c:pt>
                <c:pt idx="425">
                  <c:v>318816</c:v>
                </c:pt>
                <c:pt idx="426">
                  <c:v>370012.5</c:v>
                </c:pt>
                <c:pt idx="427">
                  <c:v>393018</c:v>
                </c:pt>
                <c:pt idx="428">
                  <c:v>349699.5</c:v>
                </c:pt>
                <c:pt idx="429">
                  <c:v>318565.5</c:v>
                </c:pt>
                <c:pt idx="430">
                  <c:v>422965.5</c:v>
                </c:pt>
                <c:pt idx="431">
                  <c:v>355081.5</c:v>
                </c:pt>
                <c:pt idx="432">
                  <c:v>358387.5</c:v>
                </c:pt>
                <c:pt idx="433">
                  <c:v>403261.5</c:v>
                </c:pt>
                <c:pt idx="434">
                  <c:v>69010.5</c:v>
                </c:pt>
                <c:pt idx="435">
                  <c:v>75820.5</c:v>
                </c:pt>
                <c:pt idx="436">
                  <c:v>64740</c:v>
                </c:pt>
                <c:pt idx="437">
                  <c:v>59574</c:v>
                </c:pt>
                <c:pt idx="438">
                  <c:v>524481</c:v>
                </c:pt>
                <c:pt idx="439">
                  <c:v>70278</c:v>
                </c:pt>
                <c:pt idx="440">
                  <c:v>63645</c:v>
                </c:pt>
                <c:pt idx="441">
                  <c:v>75642</c:v>
                </c:pt>
                <c:pt idx="442">
                  <c:v>40420.5</c:v>
                </c:pt>
                <c:pt idx="443">
                  <c:v>53838</c:v>
                </c:pt>
                <c:pt idx="444">
                  <c:v>40528.5</c:v>
                </c:pt>
                <c:pt idx="445">
                  <c:v>32733</c:v>
                </c:pt>
                <c:pt idx="446">
                  <c:v>84433.5</c:v>
                </c:pt>
                <c:pt idx="447">
                  <c:v>36655.5</c:v>
                </c:pt>
                <c:pt idx="448">
                  <c:v>33886.5</c:v>
                </c:pt>
                <c:pt idx="449">
                  <c:v>41697</c:v>
                </c:pt>
                <c:pt idx="450">
                  <c:v>44569.5</c:v>
                </c:pt>
                <c:pt idx="451">
                  <c:v>18069</c:v>
                </c:pt>
                <c:pt idx="452">
                  <c:v>21483</c:v>
                </c:pt>
                <c:pt idx="453">
                  <c:v>16687.5</c:v>
                </c:pt>
                <c:pt idx="454">
                  <c:v>12238.5</c:v>
                </c:pt>
                <c:pt idx="455">
                  <c:v>14290.5</c:v>
                </c:pt>
                <c:pt idx="456">
                  <c:v>14385</c:v>
                </c:pt>
                <c:pt idx="457">
                  <c:v>16498.5</c:v>
                </c:pt>
                <c:pt idx="458">
                  <c:v>13203</c:v>
                </c:pt>
                <c:pt idx="459">
                  <c:v>15802.5</c:v>
                </c:pt>
                <c:pt idx="460">
                  <c:v>16476</c:v>
                </c:pt>
                <c:pt idx="461">
                  <c:v>12654</c:v>
                </c:pt>
                <c:pt idx="462">
                  <c:v>19647</c:v>
                </c:pt>
                <c:pt idx="463">
                  <c:v>12450</c:v>
                </c:pt>
                <c:pt idx="464">
                  <c:v>11161.5</c:v>
                </c:pt>
                <c:pt idx="465">
                  <c:v>12229.5</c:v>
                </c:pt>
                <c:pt idx="466">
                  <c:v>28050</c:v>
                </c:pt>
                <c:pt idx="467">
                  <c:v>30781.5</c:v>
                </c:pt>
                <c:pt idx="468">
                  <c:v>27960</c:v>
                </c:pt>
                <c:pt idx="469">
                  <c:v>23629.5</c:v>
                </c:pt>
                <c:pt idx="470">
                  <c:v>17052</c:v>
                </c:pt>
                <c:pt idx="471">
                  <c:v>27181.5</c:v>
                </c:pt>
                <c:pt idx="472">
                  <c:v>25656</c:v>
                </c:pt>
                <c:pt idx="473">
                  <c:v>29283</c:v>
                </c:pt>
                <c:pt idx="474">
                  <c:v>32782.5</c:v>
                </c:pt>
                <c:pt idx="475">
                  <c:v>215592</c:v>
                </c:pt>
                <c:pt idx="476">
                  <c:v>228334.5</c:v>
                </c:pt>
                <c:pt idx="477">
                  <c:v>188776.5</c:v>
                </c:pt>
                <c:pt idx="478">
                  <c:v>175293</c:v>
                </c:pt>
                <c:pt idx="479">
                  <c:v>201999</c:v>
                </c:pt>
                <c:pt idx="480">
                  <c:v>197946</c:v>
                </c:pt>
                <c:pt idx="481">
                  <c:v>230896.5</c:v>
                </c:pt>
                <c:pt idx="482">
                  <c:v>203532</c:v>
                </c:pt>
                <c:pt idx="483">
                  <c:v>214428</c:v>
                </c:pt>
                <c:pt idx="484">
                  <c:v>183228</c:v>
                </c:pt>
                <c:pt idx="485">
                  <c:v>166948.5</c:v>
                </c:pt>
                <c:pt idx="486">
                  <c:v>232102.5</c:v>
                </c:pt>
                <c:pt idx="487">
                  <c:v>196560</c:v>
                </c:pt>
                <c:pt idx="488">
                  <c:v>186496.5</c:v>
                </c:pt>
                <c:pt idx="489">
                  <c:v>219772.5</c:v>
                </c:pt>
                <c:pt idx="490">
                  <c:v>226476</c:v>
                </c:pt>
                <c:pt idx="491">
                  <c:v>8362.5</c:v>
                </c:pt>
                <c:pt idx="492">
                  <c:v>17008.5</c:v>
                </c:pt>
                <c:pt idx="493">
                  <c:v>5166</c:v>
                </c:pt>
                <c:pt idx="494">
                  <c:v>10941</c:v>
                </c:pt>
                <c:pt idx="495">
                  <c:v>14497.5</c:v>
                </c:pt>
                <c:pt idx="496">
                  <c:v>13810.5</c:v>
                </c:pt>
                <c:pt idx="497">
                  <c:v>13752</c:v>
                </c:pt>
                <c:pt idx="498">
                  <c:v>15276</c:v>
                </c:pt>
                <c:pt idx="499">
                  <c:v>4408.5</c:v>
                </c:pt>
                <c:pt idx="500">
                  <c:v>9927</c:v>
                </c:pt>
                <c:pt idx="501">
                  <c:v>9474</c:v>
                </c:pt>
                <c:pt idx="502">
                  <c:v>16878</c:v>
                </c:pt>
                <c:pt idx="503">
                  <c:v>14238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9-4611-8679-19DCB6BFBD0E}"/>
            </c:ext>
          </c:extLst>
        </c:ser>
        <c:ser>
          <c:idx val="5"/>
          <c:order val="1"/>
          <c:tx>
            <c:strRef>
              <c:f>Лист1!$H$1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Лист1!$I$1</c:f>
              <c:strCache>
                <c:ptCount val="1"/>
                <c:pt idx="0">
                  <c:v>Неделя</c:v>
                </c:pt>
              </c:strCache>
            </c:strRef>
          </c:cat>
          <c:val>
            <c:numRef>
              <c:f>Лист1!$H$2:$H$505</c:f>
              <c:numCache>
                <c:formatCode>General</c:formatCode>
                <c:ptCount val="504"/>
                <c:pt idx="0">
                  <c:v>41598.1</c:v>
                </c:pt>
                <c:pt idx="1">
                  <c:v>52473.4</c:v>
                </c:pt>
                <c:pt idx="2">
                  <c:v>42929.599999999999</c:v>
                </c:pt>
                <c:pt idx="3">
                  <c:v>161709.14285714287</c:v>
                </c:pt>
                <c:pt idx="4">
                  <c:v>131957.92857142858</c:v>
                </c:pt>
                <c:pt idx="5">
                  <c:v>137259.92857142858</c:v>
                </c:pt>
                <c:pt idx="6">
                  <c:v>134810.42857142858</c:v>
                </c:pt>
                <c:pt idx="7">
                  <c:v>118615.5</c:v>
                </c:pt>
                <c:pt idx="8">
                  <c:v>145748.91666666666</c:v>
                </c:pt>
                <c:pt idx="9">
                  <c:v>150624.83333333334</c:v>
                </c:pt>
                <c:pt idx="10">
                  <c:v>148516.5</c:v>
                </c:pt>
                <c:pt idx="11">
                  <c:v>168403</c:v>
                </c:pt>
                <c:pt idx="12">
                  <c:v>123608.5</c:v>
                </c:pt>
                <c:pt idx="13">
                  <c:v>130684.85714285714</c:v>
                </c:pt>
                <c:pt idx="14">
                  <c:v>139491.92857142858</c:v>
                </c:pt>
                <c:pt idx="15">
                  <c:v>145338.15</c:v>
                </c:pt>
                <c:pt idx="16">
                  <c:v>133977.08333333334</c:v>
                </c:pt>
                <c:pt idx="17">
                  <c:v>125227.71428571429</c:v>
                </c:pt>
                <c:pt idx="18">
                  <c:v>121745.7</c:v>
                </c:pt>
                <c:pt idx="19">
                  <c:v>146931.15</c:v>
                </c:pt>
                <c:pt idx="20">
                  <c:v>172796.5</c:v>
                </c:pt>
                <c:pt idx="21">
                  <c:v>158829</c:v>
                </c:pt>
                <c:pt idx="22">
                  <c:v>148273.5</c:v>
                </c:pt>
                <c:pt idx="23">
                  <c:v>157760.35714285713</c:v>
                </c:pt>
                <c:pt idx="24">
                  <c:v>125960</c:v>
                </c:pt>
                <c:pt idx="25">
                  <c:v>117724.42857142857</c:v>
                </c:pt>
                <c:pt idx="26">
                  <c:v>146237.32500000001</c:v>
                </c:pt>
                <c:pt idx="27">
                  <c:v>165423.57142857142</c:v>
                </c:pt>
                <c:pt idx="28">
                  <c:v>196089.22500000001</c:v>
                </c:pt>
                <c:pt idx="29">
                  <c:v>141388.65</c:v>
                </c:pt>
                <c:pt idx="30">
                  <c:v>244637.37096774194</c:v>
                </c:pt>
                <c:pt idx="31">
                  <c:v>219855.19354838709</c:v>
                </c:pt>
                <c:pt idx="32">
                  <c:v>218546.66129032258</c:v>
                </c:pt>
                <c:pt idx="33">
                  <c:v>202094.61290322582</c:v>
                </c:pt>
                <c:pt idx="34">
                  <c:v>214266.09677419355</c:v>
                </c:pt>
                <c:pt idx="35">
                  <c:v>231628.98387096773</c:v>
                </c:pt>
                <c:pt idx="36">
                  <c:v>179167.5</c:v>
                </c:pt>
                <c:pt idx="37">
                  <c:v>215369.66129032258</c:v>
                </c:pt>
                <c:pt idx="38">
                  <c:v>286871.75806451612</c:v>
                </c:pt>
                <c:pt idx="39">
                  <c:v>206398.74193548388</c:v>
                </c:pt>
                <c:pt idx="40">
                  <c:v>213995.0806451613</c:v>
                </c:pt>
                <c:pt idx="41">
                  <c:v>233792.75806451612</c:v>
                </c:pt>
                <c:pt idx="42">
                  <c:v>223268.27419354839</c:v>
                </c:pt>
                <c:pt idx="43">
                  <c:v>231085.30645161291</c:v>
                </c:pt>
                <c:pt idx="44">
                  <c:v>225611.37096774194</c:v>
                </c:pt>
                <c:pt idx="45">
                  <c:v>226247.4193548387</c:v>
                </c:pt>
                <c:pt idx="46">
                  <c:v>198988.93548387097</c:v>
                </c:pt>
                <c:pt idx="47">
                  <c:v>260940.09677419355</c:v>
                </c:pt>
                <c:pt idx="48">
                  <c:v>214374.29032258064</c:v>
                </c:pt>
                <c:pt idx="49">
                  <c:v>226571.85483870967</c:v>
                </c:pt>
                <c:pt idx="50">
                  <c:v>241393.35483870967</c:v>
                </c:pt>
                <c:pt idx="51">
                  <c:v>203025.04838709679</c:v>
                </c:pt>
                <c:pt idx="52">
                  <c:v>212641.40322580645</c:v>
                </c:pt>
                <c:pt idx="53">
                  <c:v>208097.80645161291</c:v>
                </c:pt>
                <c:pt idx="54">
                  <c:v>113050.65</c:v>
                </c:pt>
                <c:pt idx="55">
                  <c:v>93876.45</c:v>
                </c:pt>
                <c:pt idx="56">
                  <c:v>84372.75</c:v>
                </c:pt>
                <c:pt idx="57">
                  <c:v>104640</c:v>
                </c:pt>
                <c:pt idx="58">
                  <c:v>72889.05</c:v>
                </c:pt>
                <c:pt idx="59">
                  <c:v>79791.899999999994</c:v>
                </c:pt>
                <c:pt idx="60">
                  <c:v>61788.15</c:v>
                </c:pt>
                <c:pt idx="61">
                  <c:v>98310.9</c:v>
                </c:pt>
                <c:pt idx="62">
                  <c:v>89113.95</c:v>
                </c:pt>
                <c:pt idx="63">
                  <c:v>73296.45</c:v>
                </c:pt>
                <c:pt idx="64">
                  <c:v>93552.3</c:v>
                </c:pt>
                <c:pt idx="65">
                  <c:v>103724.7</c:v>
                </c:pt>
                <c:pt idx="66">
                  <c:v>79332</c:v>
                </c:pt>
                <c:pt idx="67">
                  <c:v>86998.35</c:v>
                </c:pt>
                <c:pt idx="68">
                  <c:v>86571.45</c:v>
                </c:pt>
                <c:pt idx="69">
                  <c:v>242343.43548387097</c:v>
                </c:pt>
                <c:pt idx="70">
                  <c:v>63788.1</c:v>
                </c:pt>
                <c:pt idx="71">
                  <c:v>295635.72580645164</c:v>
                </c:pt>
                <c:pt idx="72">
                  <c:v>69683.25</c:v>
                </c:pt>
                <c:pt idx="73">
                  <c:v>124138.35</c:v>
                </c:pt>
                <c:pt idx="74">
                  <c:v>214244.17741935485</c:v>
                </c:pt>
                <c:pt idx="75">
                  <c:v>103044</c:v>
                </c:pt>
                <c:pt idx="76">
                  <c:v>71619.600000000006</c:v>
                </c:pt>
                <c:pt idx="77">
                  <c:v>100478.85</c:v>
                </c:pt>
                <c:pt idx="78">
                  <c:v>95970.3</c:v>
                </c:pt>
                <c:pt idx="79">
                  <c:v>86375.4</c:v>
                </c:pt>
                <c:pt idx="80">
                  <c:v>82898.399999999994</c:v>
                </c:pt>
                <c:pt idx="81">
                  <c:v>104551.5</c:v>
                </c:pt>
                <c:pt idx="82">
                  <c:v>126048.3</c:v>
                </c:pt>
                <c:pt idx="83">
                  <c:v>111455.25</c:v>
                </c:pt>
                <c:pt idx="84">
                  <c:v>169606.18421052632</c:v>
                </c:pt>
                <c:pt idx="85">
                  <c:v>150807.23684210525</c:v>
                </c:pt>
                <c:pt idx="86">
                  <c:v>141804.71052631579</c:v>
                </c:pt>
                <c:pt idx="87">
                  <c:v>152745.63157894736</c:v>
                </c:pt>
                <c:pt idx="88">
                  <c:v>128998.34210526316</c:v>
                </c:pt>
                <c:pt idx="89">
                  <c:v>133199.33333333334</c:v>
                </c:pt>
                <c:pt idx="90">
                  <c:v>94696.34210526316</c:v>
                </c:pt>
                <c:pt idx="91">
                  <c:v>145370.54999999999</c:v>
                </c:pt>
                <c:pt idx="92">
                  <c:v>124966.10526315789</c:v>
                </c:pt>
                <c:pt idx="93">
                  <c:v>124759.57894736843</c:v>
                </c:pt>
                <c:pt idx="94">
                  <c:v>150167.44736842104</c:v>
                </c:pt>
                <c:pt idx="95">
                  <c:v>141696.31578947368</c:v>
                </c:pt>
                <c:pt idx="96">
                  <c:v>109468.42105263157</c:v>
                </c:pt>
                <c:pt idx="97">
                  <c:v>125695.14705882352</c:v>
                </c:pt>
                <c:pt idx="98">
                  <c:v>124912.5</c:v>
                </c:pt>
                <c:pt idx="99">
                  <c:v>114226.81578947368</c:v>
                </c:pt>
                <c:pt idx="100">
                  <c:v>117501</c:v>
                </c:pt>
                <c:pt idx="101">
                  <c:v>169268.625</c:v>
                </c:pt>
                <c:pt idx="102">
                  <c:v>143286.375</c:v>
                </c:pt>
                <c:pt idx="103">
                  <c:v>119350.73684210527</c:v>
                </c:pt>
                <c:pt idx="104">
                  <c:v>150647.28947368421</c:v>
                </c:pt>
                <c:pt idx="105">
                  <c:v>119550.23684210527</c:v>
                </c:pt>
                <c:pt idx="106">
                  <c:v>123719.60526315789</c:v>
                </c:pt>
                <c:pt idx="107">
                  <c:v>145776.67499999999</c:v>
                </c:pt>
                <c:pt idx="108">
                  <c:v>149599.95000000001</c:v>
                </c:pt>
                <c:pt idx="109">
                  <c:v>182708.32500000001</c:v>
                </c:pt>
                <c:pt idx="110">
                  <c:v>150210.67499999999</c:v>
                </c:pt>
                <c:pt idx="111">
                  <c:v>249890.41860465117</c:v>
                </c:pt>
                <c:pt idx="112">
                  <c:v>210028.09302325582</c:v>
                </c:pt>
                <c:pt idx="113">
                  <c:v>206666.12790697673</c:v>
                </c:pt>
                <c:pt idx="114">
                  <c:v>230761.23255813954</c:v>
                </c:pt>
                <c:pt idx="115">
                  <c:v>227580.93023255814</c:v>
                </c:pt>
                <c:pt idx="116">
                  <c:v>241166.30859375</c:v>
                </c:pt>
                <c:pt idx="117">
                  <c:v>188697.8023255814</c:v>
                </c:pt>
                <c:pt idx="118">
                  <c:v>216066.80541744188</c:v>
                </c:pt>
                <c:pt idx="119">
                  <c:v>240723.38372093023</c:v>
                </c:pt>
                <c:pt idx="120">
                  <c:v>225135.81395348837</c:v>
                </c:pt>
                <c:pt idx="121">
                  <c:v>215913.95348837209</c:v>
                </c:pt>
                <c:pt idx="122">
                  <c:v>227664.8962593023</c:v>
                </c:pt>
                <c:pt idx="123">
                  <c:v>211460.78406976743</c:v>
                </c:pt>
                <c:pt idx="124">
                  <c:v>227804.94140625</c:v>
                </c:pt>
                <c:pt idx="125">
                  <c:v>205174.05813953487</c:v>
                </c:pt>
                <c:pt idx="126">
                  <c:v>220364.34883720931</c:v>
                </c:pt>
                <c:pt idx="127">
                  <c:v>223029.53570232558</c:v>
                </c:pt>
                <c:pt idx="128">
                  <c:v>272123.46288023255</c:v>
                </c:pt>
                <c:pt idx="129">
                  <c:v>210588.47674418605</c:v>
                </c:pt>
                <c:pt idx="130">
                  <c:v>251309.13953488372</c:v>
                </c:pt>
                <c:pt idx="131">
                  <c:v>228962.6054732558</c:v>
                </c:pt>
                <c:pt idx="132">
                  <c:v>295283.38372093026</c:v>
                </c:pt>
                <c:pt idx="133">
                  <c:v>196319.93023255814</c:v>
                </c:pt>
                <c:pt idx="134">
                  <c:v>218515.76744186046</c:v>
                </c:pt>
                <c:pt idx="135">
                  <c:v>338589.04800000001</c:v>
                </c:pt>
                <c:pt idx="136">
                  <c:v>296185.94400000002</c:v>
                </c:pt>
                <c:pt idx="137">
                  <c:v>294676.53600000002</c:v>
                </c:pt>
                <c:pt idx="138">
                  <c:v>309547.41600000003</c:v>
                </c:pt>
                <c:pt idx="139">
                  <c:v>307255.63199999998</c:v>
                </c:pt>
                <c:pt idx="140">
                  <c:v>332475.07199999999</c:v>
                </c:pt>
                <c:pt idx="141">
                  <c:v>254749.89600000001</c:v>
                </c:pt>
                <c:pt idx="142">
                  <c:v>309402.90725806454</c:v>
                </c:pt>
                <c:pt idx="143">
                  <c:v>320617.54800000001</c:v>
                </c:pt>
                <c:pt idx="144">
                  <c:v>316628.61599999998</c:v>
                </c:pt>
                <c:pt idx="145">
                  <c:v>303217.25255999999</c:v>
                </c:pt>
                <c:pt idx="146">
                  <c:v>317114.47200000001</c:v>
                </c:pt>
                <c:pt idx="147">
                  <c:v>285373.87199999997</c:v>
                </c:pt>
                <c:pt idx="148">
                  <c:v>319344.228</c:v>
                </c:pt>
                <c:pt idx="149">
                  <c:v>297576.924</c:v>
                </c:pt>
                <c:pt idx="150">
                  <c:v>227347.02325581395</c:v>
                </c:pt>
                <c:pt idx="151">
                  <c:v>293055.99599999998</c:v>
                </c:pt>
                <c:pt idx="152">
                  <c:v>276934.0581395349</c:v>
                </c:pt>
                <c:pt idx="153">
                  <c:v>304738.75199999998</c:v>
                </c:pt>
                <c:pt idx="154">
                  <c:v>371264.64</c:v>
                </c:pt>
                <c:pt idx="155">
                  <c:v>218224.84302325582</c:v>
                </c:pt>
                <c:pt idx="156">
                  <c:v>297447</c:v>
                </c:pt>
                <c:pt idx="157">
                  <c:v>344229.87599999999</c:v>
                </c:pt>
                <c:pt idx="158">
                  <c:v>312087</c:v>
                </c:pt>
                <c:pt idx="159">
                  <c:v>392985.44400000002</c:v>
                </c:pt>
                <c:pt idx="160">
                  <c:v>270111.91200000001</c:v>
                </c:pt>
                <c:pt idx="161">
                  <c:v>305531.05200000003</c:v>
                </c:pt>
                <c:pt idx="162">
                  <c:v>184782.75</c:v>
                </c:pt>
                <c:pt idx="163">
                  <c:v>171485.08333333334</c:v>
                </c:pt>
                <c:pt idx="164">
                  <c:v>165355.625</c:v>
                </c:pt>
                <c:pt idx="165">
                  <c:v>201484.08333333334</c:v>
                </c:pt>
                <c:pt idx="166">
                  <c:v>154484.79166666666</c:v>
                </c:pt>
                <c:pt idx="167">
                  <c:v>179290.5</c:v>
                </c:pt>
                <c:pt idx="168">
                  <c:v>114395.875</c:v>
                </c:pt>
                <c:pt idx="169">
                  <c:v>162916.375</c:v>
                </c:pt>
                <c:pt idx="170">
                  <c:v>195339.58333333334</c:v>
                </c:pt>
                <c:pt idx="171">
                  <c:v>153420.70833333334</c:v>
                </c:pt>
                <c:pt idx="172">
                  <c:v>162891.25</c:v>
                </c:pt>
                <c:pt idx="173">
                  <c:v>197831.83333333334</c:v>
                </c:pt>
                <c:pt idx="174">
                  <c:v>160292.75</c:v>
                </c:pt>
                <c:pt idx="175">
                  <c:v>174673.5</c:v>
                </c:pt>
                <c:pt idx="176">
                  <c:v>175939.66666666666</c:v>
                </c:pt>
                <c:pt idx="177">
                  <c:v>317582.08064516127</c:v>
                </c:pt>
                <c:pt idx="178">
                  <c:v>172814.45833333334</c:v>
                </c:pt>
                <c:pt idx="179">
                  <c:v>373958.90322580643</c:v>
                </c:pt>
                <c:pt idx="180">
                  <c:v>151503.375</c:v>
                </c:pt>
                <c:pt idx="181">
                  <c:v>199253.25</c:v>
                </c:pt>
                <c:pt idx="182">
                  <c:v>306029.74596774194</c:v>
                </c:pt>
                <c:pt idx="183">
                  <c:v>158462.5</c:v>
                </c:pt>
                <c:pt idx="184">
                  <c:v>189433.16666666666</c:v>
                </c:pt>
                <c:pt idx="185">
                  <c:v>214613.04166666666</c:v>
                </c:pt>
                <c:pt idx="186">
                  <c:v>149047.45833333334</c:v>
                </c:pt>
                <c:pt idx="187">
                  <c:v>171551.04166666666</c:v>
                </c:pt>
                <c:pt idx="188">
                  <c:v>169395.45833333334</c:v>
                </c:pt>
                <c:pt idx="189">
                  <c:v>191673.71428571429</c:v>
                </c:pt>
                <c:pt idx="190">
                  <c:v>169187.5</c:v>
                </c:pt>
                <c:pt idx="191">
                  <c:v>151959.78571428571</c:v>
                </c:pt>
                <c:pt idx="192">
                  <c:v>146899.64285714287</c:v>
                </c:pt>
                <c:pt idx="193">
                  <c:v>140892.67499999999</c:v>
                </c:pt>
                <c:pt idx="194">
                  <c:v>138294.47368421053</c:v>
                </c:pt>
                <c:pt idx="195">
                  <c:v>123523.27499999999</c:v>
                </c:pt>
                <c:pt idx="196">
                  <c:v>176205.28571428571</c:v>
                </c:pt>
                <c:pt idx="197">
                  <c:v>214662.07500000001</c:v>
                </c:pt>
                <c:pt idx="198">
                  <c:v>146695.92857142858</c:v>
                </c:pt>
                <c:pt idx="199">
                  <c:v>181447.35714285713</c:v>
                </c:pt>
                <c:pt idx="200">
                  <c:v>186618.42857142858</c:v>
                </c:pt>
                <c:pt idx="201">
                  <c:v>132434.4</c:v>
                </c:pt>
                <c:pt idx="202">
                  <c:v>150715.81578947368</c:v>
                </c:pt>
                <c:pt idx="203">
                  <c:v>156574.71428571429</c:v>
                </c:pt>
                <c:pt idx="204">
                  <c:v>175698.60810810811</c:v>
                </c:pt>
                <c:pt idx="205">
                  <c:v>136000.125</c:v>
                </c:pt>
                <c:pt idx="206">
                  <c:v>245902.33783783784</c:v>
                </c:pt>
                <c:pt idx="207">
                  <c:v>136906.35</c:v>
                </c:pt>
                <c:pt idx="208">
                  <c:v>184915</c:v>
                </c:pt>
                <c:pt idx="209">
                  <c:v>164917.05405405405</c:v>
                </c:pt>
                <c:pt idx="210">
                  <c:v>169602.64285714287</c:v>
                </c:pt>
                <c:pt idx="211">
                  <c:v>142665.52499999999</c:v>
                </c:pt>
                <c:pt idx="212">
                  <c:v>169004.64285714287</c:v>
                </c:pt>
                <c:pt idx="213">
                  <c:v>152445.64285714287</c:v>
                </c:pt>
                <c:pt idx="214">
                  <c:v>139738.28571428571</c:v>
                </c:pt>
                <c:pt idx="215">
                  <c:v>164252.5</c:v>
                </c:pt>
                <c:pt idx="216">
                  <c:v>173658.84782608695</c:v>
                </c:pt>
                <c:pt idx="217">
                  <c:v>202565.52272727274</c:v>
                </c:pt>
                <c:pt idx="218">
                  <c:v>176985.47727272726</c:v>
                </c:pt>
                <c:pt idx="219">
                  <c:v>106761.7</c:v>
                </c:pt>
                <c:pt idx="220">
                  <c:v>85302.9375</c:v>
                </c:pt>
                <c:pt idx="221">
                  <c:v>91838.5</c:v>
                </c:pt>
                <c:pt idx="222">
                  <c:v>81528.800000000003</c:v>
                </c:pt>
                <c:pt idx="223">
                  <c:v>72347.399999999994</c:v>
                </c:pt>
                <c:pt idx="224">
                  <c:v>74399.5</c:v>
                </c:pt>
                <c:pt idx="225">
                  <c:v>70214.7</c:v>
                </c:pt>
                <c:pt idx="226">
                  <c:v>87596.029411764699</c:v>
                </c:pt>
                <c:pt idx="227">
                  <c:v>97722.8</c:v>
                </c:pt>
                <c:pt idx="228">
                  <c:v>74922</c:v>
                </c:pt>
                <c:pt idx="229">
                  <c:v>81220.676470588238</c:v>
                </c:pt>
                <c:pt idx="230">
                  <c:v>89390.90625</c:v>
                </c:pt>
                <c:pt idx="231">
                  <c:v>92278.6</c:v>
                </c:pt>
                <c:pt idx="232">
                  <c:v>73525.8</c:v>
                </c:pt>
                <c:pt idx="233">
                  <c:v>82900.5</c:v>
                </c:pt>
                <c:pt idx="234">
                  <c:v>74667.3</c:v>
                </c:pt>
                <c:pt idx="235">
                  <c:v>81403.8</c:v>
                </c:pt>
                <c:pt idx="236">
                  <c:v>109058.91176470589</c:v>
                </c:pt>
                <c:pt idx="237">
                  <c:v>88698.088235294112</c:v>
                </c:pt>
                <c:pt idx="238">
                  <c:v>73537.899999999994</c:v>
                </c:pt>
                <c:pt idx="239">
                  <c:v>98102.5</c:v>
                </c:pt>
                <c:pt idx="240">
                  <c:v>84652.4</c:v>
                </c:pt>
                <c:pt idx="241">
                  <c:v>74926.3</c:v>
                </c:pt>
                <c:pt idx="242">
                  <c:v>91064.647058823524</c:v>
                </c:pt>
                <c:pt idx="243">
                  <c:v>81002.2</c:v>
                </c:pt>
                <c:pt idx="244">
                  <c:v>93536.5</c:v>
                </c:pt>
                <c:pt idx="245">
                  <c:v>70699.3</c:v>
                </c:pt>
                <c:pt idx="246">
                  <c:v>72081.100000000006</c:v>
                </c:pt>
                <c:pt idx="247">
                  <c:v>40723.699999999997</c:v>
                </c:pt>
                <c:pt idx="248">
                  <c:v>131161.91666666666</c:v>
                </c:pt>
                <c:pt idx="249">
                  <c:v>28882.9</c:v>
                </c:pt>
                <c:pt idx="250">
                  <c:v>76803.600000000006</c:v>
                </c:pt>
                <c:pt idx="251">
                  <c:v>33704.800000000003</c:v>
                </c:pt>
                <c:pt idx="252">
                  <c:v>65975.5</c:v>
                </c:pt>
                <c:pt idx="253">
                  <c:v>73574.899999999994</c:v>
                </c:pt>
                <c:pt idx="254">
                  <c:v>73657.2</c:v>
                </c:pt>
                <c:pt idx="255">
                  <c:v>46306.2</c:v>
                </c:pt>
                <c:pt idx="256">
                  <c:v>126504</c:v>
                </c:pt>
                <c:pt idx="257">
                  <c:v>63327.5</c:v>
                </c:pt>
                <c:pt idx="258">
                  <c:v>93654.088235294112</c:v>
                </c:pt>
                <c:pt idx="259">
                  <c:v>44353.5</c:v>
                </c:pt>
                <c:pt idx="260">
                  <c:v>144544.23529411765</c:v>
                </c:pt>
                <c:pt idx="261">
                  <c:v>49286.1</c:v>
                </c:pt>
                <c:pt idx="262">
                  <c:v>87671.7</c:v>
                </c:pt>
                <c:pt idx="263">
                  <c:v>87525.176470588238</c:v>
                </c:pt>
                <c:pt idx="264">
                  <c:v>82045.8</c:v>
                </c:pt>
                <c:pt idx="265">
                  <c:v>26979.4</c:v>
                </c:pt>
                <c:pt idx="266">
                  <c:v>79885.7</c:v>
                </c:pt>
                <c:pt idx="267">
                  <c:v>53250.6</c:v>
                </c:pt>
                <c:pt idx="268">
                  <c:v>51285.1</c:v>
                </c:pt>
                <c:pt idx="269">
                  <c:v>78991</c:v>
                </c:pt>
                <c:pt idx="270">
                  <c:v>153835.97368421053</c:v>
                </c:pt>
                <c:pt idx="271">
                  <c:v>128764.73684210527</c:v>
                </c:pt>
                <c:pt idx="272">
                  <c:v>128191.18421052632</c:v>
                </c:pt>
                <c:pt idx="273">
                  <c:v>125523</c:v>
                </c:pt>
                <c:pt idx="274">
                  <c:v>113456.21052631579</c:v>
                </c:pt>
                <c:pt idx="275">
                  <c:v>88571.131578947374</c:v>
                </c:pt>
                <c:pt idx="276">
                  <c:v>120540.15</c:v>
                </c:pt>
                <c:pt idx="277">
                  <c:v>166763.68421052632</c:v>
                </c:pt>
                <c:pt idx="278">
                  <c:v>118061.05263157895</c:v>
                </c:pt>
                <c:pt idx="279">
                  <c:v>115733.44736842105</c:v>
                </c:pt>
                <c:pt idx="280">
                  <c:v>132671.52631578947</c:v>
                </c:pt>
                <c:pt idx="281">
                  <c:v>125280.71052631579</c:v>
                </c:pt>
                <c:pt idx="282">
                  <c:v>119139.55263157895</c:v>
                </c:pt>
                <c:pt idx="283">
                  <c:v>83549.34375</c:v>
                </c:pt>
                <c:pt idx="284">
                  <c:v>100345.10526315789</c:v>
                </c:pt>
                <c:pt idx="285">
                  <c:v>100568.15625</c:v>
                </c:pt>
                <c:pt idx="286">
                  <c:v>113650.02631578948</c:v>
                </c:pt>
                <c:pt idx="287">
                  <c:v>162586.34210526315</c:v>
                </c:pt>
                <c:pt idx="288">
                  <c:v>77484.1875</c:v>
                </c:pt>
                <c:pt idx="289">
                  <c:v>125640.15</c:v>
                </c:pt>
                <c:pt idx="290">
                  <c:v>134741.05263157896</c:v>
                </c:pt>
                <c:pt idx="291">
                  <c:v>145645.81578947368</c:v>
                </c:pt>
                <c:pt idx="292">
                  <c:v>117682.10526315789</c:v>
                </c:pt>
                <c:pt idx="293">
                  <c:v>121491.39473684211</c:v>
                </c:pt>
                <c:pt idx="294">
                  <c:v>132995.21052631579</c:v>
                </c:pt>
                <c:pt idx="295">
                  <c:v>366361.57627118647</c:v>
                </c:pt>
                <c:pt idx="296">
                  <c:v>357879.63559322036</c:v>
                </c:pt>
                <c:pt idx="297">
                  <c:v>133063.07142857142</c:v>
                </c:pt>
                <c:pt idx="298">
                  <c:v>150266.70000000001</c:v>
                </c:pt>
                <c:pt idx="299">
                  <c:v>127960.575</c:v>
                </c:pt>
                <c:pt idx="300">
                  <c:v>394823.05</c:v>
                </c:pt>
                <c:pt idx="301">
                  <c:v>365764.3</c:v>
                </c:pt>
                <c:pt idx="302">
                  <c:v>325773.09999999998</c:v>
                </c:pt>
                <c:pt idx="303">
                  <c:v>325739.51694915252</c:v>
                </c:pt>
                <c:pt idx="304">
                  <c:v>411732.50847457629</c:v>
                </c:pt>
                <c:pt idx="305">
                  <c:v>386507.25</c:v>
                </c:pt>
                <c:pt idx="306">
                  <c:v>332633.28813559323</c:v>
                </c:pt>
                <c:pt idx="307">
                  <c:v>426498.83898305084</c:v>
                </c:pt>
                <c:pt idx="308">
                  <c:v>430734.76271186443</c:v>
                </c:pt>
                <c:pt idx="309">
                  <c:v>320086.32500000001</c:v>
                </c:pt>
                <c:pt idx="310">
                  <c:v>370888.25</c:v>
                </c:pt>
                <c:pt idx="311">
                  <c:v>365988.1</c:v>
                </c:pt>
                <c:pt idx="312">
                  <c:v>371515.85593220341</c:v>
                </c:pt>
                <c:pt idx="313">
                  <c:v>370430.80555555556</c:v>
                </c:pt>
                <c:pt idx="314">
                  <c:v>323954.55</c:v>
                </c:pt>
                <c:pt idx="315">
                  <c:v>449021.66949152545</c:v>
                </c:pt>
                <c:pt idx="316">
                  <c:v>390389.69491525425</c:v>
                </c:pt>
                <c:pt idx="317">
                  <c:v>476515.17499999999</c:v>
                </c:pt>
                <c:pt idx="318">
                  <c:v>348860.05932203389</c:v>
                </c:pt>
                <c:pt idx="319">
                  <c:v>381864.40677966102</c:v>
                </c:pt>
                <c:pt idx="320">
                  <c:v>421871.26271186443</c:v>
                </c:pt>
                <c:pt idx="321">
                  <c:v>404778.78813559323</c:v>
                </c:pt>
                <c:pt idx="322">
                  <c:v>380680.16949152545</c:v>
                </c:pt>
                <c:pt idx="323">
                  <c:v>332663.34999999998</c:v>
                </c:pt>
                <c:pt idx="324">
                  <c:v>413987.75</c:v>
                </c:pt>
                <c:pt idx="325">
                  <c:v>381297.63888888888</c:v>
                </c:pt>
                <c:pt idx="326">
                  <c:v>341649.83333333331</c:v>
                </c:pt>
                <c:pt idx="327">
                  <c:v>334922.19444444444</c:v>
                </c:pt>
                <c:pt idx="328">
                  <c:v>422163.47222222225</c:v>
                </c:pt>
                <c:pt idx="329">
                  <c:v>344924.47222222225</c:v>
                </c:pt>
                <c:pt idx="330">
                  <c:v>441784.16666666669</c:v>
                </c:pt>
                <c:pt idx="331">
                  <c:v>443584</c:v>
                </c:pt>
                <c:pt idx="332">
                  <c:v>346630.30555555556</c:v>
                </c:pt>
                <c:pt idx="333">
                  <c:v>389679.13888888888</c:v>
                </c:pt>
                <c:pt idx="334">
                  <c:v>396506.47222222225</c:v>
                </c:pt>
                <c:pt idx="335">
                  <c:v>386669.30555555556</c:v>
                </c:pt>
                <c:pt idx="336">
                  <c:v>347851.86111111112</c:v>
                </c:pt>
                <c:pt idx="337">
                  <c:v>365852.82203389832</c:v>
                </c:pt>
                <c:pt idx="338">
                  <c:v>472575.41666666669</c:v>
                </c:pt>
                <c:pt idx="339">
                  <c:v>415716.0254237288</c:v>
                </c:pt>
                <c:pt idx="340">
                  <c:v>409748.97222222225</c:v>
                </c:pt>
                <c:pt idx="341">
                  <c:v>496419</c:v>
                </c:pt>
                <c:pt idx="342">
                  <c:v>342262.22499999998</c:v>
                </c:pt>
                <c:pt idx="343">
                  <c:v>366794.94444444444</c:v>
                </c:pt>
                <c:pt idx="344">
                  <c:v>402601.11111111112</c:v>
                </c:pt>
                <c:pt idx="345">
                  <c:v>434143.05555555556</c:v>
                </c:pt>
                <c:pt idx="346">
                  <c:v>423075.52777777775</c:v>
                </c:pt>
                <c:pt idx="347">
                  <c:v>397463.38888888888</c:v>
                </c:pt>
                <c:pt idx="348">
                  <c:v>353168.83333333331</c:v>
                </c:pt>
                <c:pt idx="349">
                  <c:v>65434.6</c:v>
                </c:pt>
                <c:pt idx="350">
                  <c:v>66169.399999999994</c:v>
                </c:pt>
                <c:pt idx="351">
                  <c:v>383652.75</c:v>
                </c:pt>
                <c:pt idx="352">
                  <c:v>447258.88888888888</c:v>
                </c:pt>
                <c:pt idx="353">
                  <c:v>362019.19444444444</c:v>
                </c:pt>
                <c:pt idx="354">
                  <c:v>82271.90625</c:v>
                </c:pt>
                <c:pt idx="355">
                  <c:v>66282.970588235301</c:v>
                </c:pt>
                <c:pt idx="356">
                  <c:v>72345.5625</c:v>
                </c:pt>
                <c:pt idx="357">
                  <c:v>63720.1</c:v>
                </c:pt>
                <c:pt idx="358">
                  <c:v>60422.9</c:v>
                </c:pt>
                <c:pt idx="359">
                  <c:v>54457.3</c:v>
                </c:pt>
                <c:pt idx="360">
                  <c:v>119116.5</c:v>
                </c:pt>
                <c:pt idx="361">
                  <c:v>75629.600000000006</c:v>
                </c:pt>
                <c:pt idx="362">
                  <c:v>72818.5</c:v>
                </c:pt>
                <c:pt idx="363">
                  <c:v>65143</c:v>
                </c:pt>
                <c:pt idx="364">
                  <c:v>71632.323529411762</c:v>
                </c:pt>
                <c:pt idx="365">
                  <c:v>76371.7</c:v>
                </c:pt>
                <c:pt idx="366">
                  <c:v>78179.399999999994</c:v>
                </c:pt>
                <c:pt idx="367">
                  <c:v>54410</c:v>
                </c:pt>
                <c:pt idx="368">
                  <c:v>67771.100000000006</c:v>
                </c:pt>
                <c:pt idx="369">
                  <c:v>80966.166666666672</c:v>
                </c:pt>
                <c:pt idx="370">
                  <c:v>73705.833333333328</c:v>
                </c:pt>
                <c:pt idx="371">
                  <c:v>66967.399999999994</c:v>
                </c:pt>
                <c:pt idx="372">
                  <c:v>81103.8</c:v>
                </c:pt>
                <c:pt idx="373">
                  <c:v>69789.899999999994</c:v>
                </c:pt>
                <c:pt idx="374">
                  <c:v>64392</c:v>
                </c:pt>
                <c:pt idx="375">
                  <c:v>77014.583333333328</c:v>
                </c:pt>
                <c:pt idx="376">
                  <c:v>67247.583333333328</c:v>
                </c:pt>
                <c:pt idx="377">
                  <c:v>42423</c:v>
                </c:pt>
                <c:pt idx="378">
                  <c:v>54877</c:v>
                </c:pt>
                <c:pt idx="379">
                  <c:v>132667.92857142858</c:v>
                </c:pt>
                <c:pt idx="380">
                  <c:v>43415.8</c:v>
                </c:pt>
                <c:pt idx="381">
                  <c:v>99238.5</c:v>
                </c:pt>
                <c:pt idx="382">
                  <c:v>150787.57500000001</c:v>
                </c:pt>
                <c:pt idx="383">
                  <c:v>147193.78571428571</c:v>
                </c:pt>
                <c:pt idx="384">
                  <c:v>78139.25</c:v>
                </c:pt>
                <c:pt idx="385">
                  <c:v>118066.5</c:v>
                </c:pt>
                <c:pt idx="386">
                  <c:v>98508.583333333328</c:v>
                </c:pt>
                <c:pt idx="387">
                  <c:v>77080.166666666672</c:v>
                </c:pt>
                <c:pt idx="388">
                  <c:v>134589.5</c:v>
                </c:pt>
                <c:pt idx="389">
                  <c:v>128720.57142857143</c:v>
                </c:pt>
                <c:pt idx="390">
                  <c:v>144680.64285714287</c:v>
                </c:pt>
                <c:pt idx="391">
                  <c:v>140239.78571428571</c:v>
                </c:pt>
                <c:pt idx="392">
                  <c:v>123717.64285714286</c:v>
                </c:pt>
                <c:pt idx="393">
                  <c:v>159658.35</c:v>
                </c:pt>
                <c:pt idx="394">
                  <c:v>216163.98387096773</c:v>
                </c:pt>
                <c:pt idx="395">
                  <c:v>249305.32258064515</c:v>
                </c:pt>
                <c:pt idx="396">
                  <c:v>220320.04838709679</c:v>
                </c:pt>
                <c:pt idx="397">
                  <c:v>79078.333333333328</c:v>
                </c:pt>
                <c:pt idx="398">
                  <c:v>206410.30645161291</c:v>
                </c:pt>
                <c:pt idx="399">
                  <c:v>213216.5806451613</c:v>
                </c:pt>
                <c:pt idx="400">
                  <c:v>195279</c:v>
                </c:pt>
                <c:pt idx="401">
                  <c:v>221821.11290322582</c:v>
                </c:pt>
                <c:pt idx="402">
                  <c:v>105479.85</c:v>
                </c:pt>
                <c:pt idx="403">
                  <c:v>145504.95000000001</c:v>
                </c:pt>
                <c:pt idx="404">
                  <c:v>100774.2</c:v>
                </c:pt>
                <c:pt idx="405">
                  <c:v>73433.55</c:v>
                </c:pt>
                <c:pt idx="406">
                  <c:v>238294.06451612903</c:v>
                </c:pt>
                <c:pt idx="407">
                  <c:v>93642.75</c:v>
                </c:pt>
                <c:pt idx="408">
                  <c:v>98156.4</c:v>
                </c:pt>
                <c:pt idx="409">
                  <c:v>115057.95</c:v>
                </c:pt>
                <c:pt idx="410">
                  <c:v>127346.4</c:v>
                </c:pt>
                <c:pt idx="411">
                  <c:v>146206.65</c:v>
                </c:pt>
                <c:pt idx="412">
                  <c:v>170709</c:v>
                </c:pt>
                <c:pt idx="413">
                  <c:v>150675.6</c:v>
                </c:pt>
                <c:pt idx="414">
                  <c:v>205893.63157894736</c:v>
                </c:pt>
                <c:pt idx="415">
                  <c:v>136218.31578947368</c:v>
                </c:pt>
                <c:pt idx="416">
                  <c:v>128501.05263157895</c:v>
                </c:pt>
                <c:pt idx="417">
                  <c:v>155214.63157894736</c:v>
                </c:pt>
                <c:pt idx="418">
                  <c:v>162902.70000000001</c:v>
                </c:pt>
                <c:pt idx="419">
                  <c:v>226798.39534883722</c:v>
                </c:pt>
                <c:pt idx="420">
                  <c:v>228416.81395348837</c:v>
                </c:pt>
                <c:pt idx="421">
                  <c:v>216953.84765625</c:v>
                </c:pt>
                <c:pt idx="422">
                  <c:v>190916.53661976743</c:v>
                </c:pt>
                <c:pt idx="423">
                  <c:v>213451.81509767444</c:v>
                </c:pt>
                <c:pt idx="424">
                  <c:v>218459.62790697673</c:v>
                </c:pt>
                <c:pt idx="425">
                  <c:v>250808.76744186046</c:v>
                </c:pt>
                <c:pt idx="426">
                  <c:v>314797.2701612903</c:v>
                </c:pt>
                <c:pt idx="427">
                  <c:v>315986.98800000001</c:v>
                </c:pt>
                <c:pt idx="428">
                  <c:v>302909.26976707316</c:v>
                </c:pt>
                <c:pt idx="429">
                  <c:v>270252.64799999999</c:v>
                </c:pt>
                <c:pt idx="430">
                  <c:v>323776.27988372097</c:v>
                </c:pt>
                <c:pt idx="431">
                  <c:v>295015.10399999999</c:v>
                </c:pt>
                <c:pt idx="432">
                  <c:v>303705.20400000003</c:v>
                </c:pt>
                <c:pt idx="433">
                  <c:v>338171.016</c:v>
                </c:pt>
                <c:pt idx="434">
                  <c:v>166274.83333333334</c:v>
                </c:pt>
                <c:pt idx="435">
                  <c:v>165096.91666666666</c:v>
                </c:pt>
                <c:pt idx="436">
                  <c:v>156764.59459459459</c:v>
                </c:pt>
                <c:pt idx="437">
                  <c:v>143838.04166666666</c:v>
                </c:pt>
                <c:pt idx="438">
                  <c:v>436871.20161290321</c:v>
                </c:pt>
                <c:pt idx="439">
                  <c:v>161068.79166666666</c:v>
                </c:pt>
                <c:pt idx="440">
                  <c:v>149072.29166666666</c:v>
                </c:pt>
                <c:pt idx="441">
                  <c:v>174832</c:v>
                </c:pt>
                <c:pt idx="442">
                  <c:v>180040.57142857142</c:v>
                </c:pt>
                <c:pt idx="443">
                  <c:v>230515.85714285713</c:v>
                </c:pt>
                <c:pt idx="444">
                  <c:v>168054.39130434784</c:v>
                </c:pt>
                <c:pt idx="445">
                  <c:v>146649.07142857142</c:v>
                </c:pt>
                <c:pt idx="446">
                  <c:v>195362.02702702704</c:v>
                </c:pt>
                <c:pt idx="447">
                  <c:v>160006.42857142858</c:v>
                </c:pt>
                <c:pt idx="448">
                  <c:v>150784.71428571429</c:v>
                </c:pt>
                <c:pt idx="449">
                  <c:v>179631.35714285713</c:v>
                </c:pt>
                <c:pt idx="450">
                  <c:v>186754.36363636365</c:v>
                </c:pt>
                <c:pt idx="451">
                  <c:v>94299.088235294112</c:v>
                </c:pt>
                <c:pt idx="452">
                  <c:v>104372.29411764706</c:v>
                </c:pt>
                <c:pt idx="453">
                  <c:v>89800.5</c:v>
                </c:pt>
                <c:pt idx="454">
                  <c:v>73066.8</c:v>
                </c:pt>
                <c:pt idx="455">
                  <c:v>77885.15625</c:v>
                </c:pt>
                <c:pt idx="456">
                  <c:v>81566.100000000006</c:v>
                </c:pt>
                <c:pt idx="457">
                  <c:v>91365.5</c:v>
                </c:pt>
                <c:pt idx="458">
                  <c:v>80763.8</c:v>
                </c:pt>
                <c:pt idx="459">
                  <c:v>94127.3</c:v>
                </c:pt>
                <c:pt idx="460">
                  <c:v>97852.03125</c:v>
                </c:pt>
                <c:pt idx="461">
                  <c:v>72077.2</c:v>
                </c:pt>
                <c:pt idx="462">
                  <c:v>103804.05882352941</c:v>
                </c:pt>
                <c:pt idx="463">
                  <c:v>74343.100000000006</c:v>
                </c:pt>
                <c:pt idx="464">
                  <c:v>64233.5</c:v>
                </c:pt>
                <c:pt idx="465">
                  <c:v>74848.7</c:v>
                </c:pt>
                <c:pt idx="466">
                  <c:v>122927.77499999999</c:v>
                </c:pt>
                <c:pt idx="467">
                  <c:v>133721.84210526315</c:v>
                </c:pt>
                <c:pt idx="468">
                  <c:v>120903.21428571429</c:v>
                </c:pt>
                <c:pt idx="469">
                  <c:v>113913.94736842105</c:v>
                </c:pt>
                <c:pt idx="470">
                  <c:v>96813.75</c:v>
                </c:pt>
                <c:pt idx="471">
                  <c:v>122341.57894736843</c:v>
                </c:pt>
                <c:pt idx="472">
                  <c:v>117123.23684210527</c:v>
                </c:pt>
                <c:pt idx="473">
                  <c:v>130394.05263157895</c:v>
                </c:pt>
                <c:pt idx="474">
                  <c:v>142737.07500000001</c:v>
                </c:pt>
                <c:pt idx="475">
                  <c:v>378683.05932203389</c:v>
                </c:pt>
                <c:pt idx="476">
                  <c:v>373012.875</c:v>
                </c:pt>
                <c:pt idx="477">
                  <c:v>329921.56779661018</c:v>
                </c:pt>
                <c:pt idx="478">
                  <c:v>298652.40000000002</c:v>
                </c:pt>
                <c:pt idx="479">
                  <c:v>340373.92499999999</c:v>
                </c:pt>
                <c:pt idx="480">
                  <c:v>332373.92499999999</c:v>
                </c:pt>
                <c:pt idx="481">
                  <c:v>384753.7</c:v>
                </c:pt>
                <c:pt idx="482">
                  <c:v>388024.52777777775</c:v>
                </c:pt>
                <c:pt idx="483">
                  <c:v>385418.25</c:v>
                </c:pt>
                <c:pt idx="484">
                  <c:v>350262.86111111112</c:v>
                </c:pt>
                <c:pt idx="485">
                  <c:v>314282.05555555556</c:v>
                </c:pt>
                <c:pt idx="486">
                  <c:v>391871.92372881353</c:v>
                </c:pt>
                <c:pt idx="487">
                  <c:v>367687.44444444444</c:v>
                </c:pt>
                <c:pt idx="488">
                  <c:v>345203.66666666669</c:v>
                </c:pt>
                <c:pt idx="489">
                  <c:v>405468.41666666669</c:v>
                </c:pt>
                <c:pt idx="490">
                  <c:v>415113.91666666669</c:v>
                </c:pt>
                <c:pt idx="491">
                  <c:v>98240.571428571435</c:v>
                </c:pt>
                <c:pt idx="492">
                  <c:v>77709.5</c:v>
                </c:pt>
                <c:pt idx="493">
                  <c:v>43223.666666666664</c:v>
                </c:pt>
                <c:pt idx="494">
                  <c:v>58690.400000000001</c:v>
                </c:pt>
                <c:pt idx="495">
                  <c:v>76919.4375</c:v>
                </c:pt>
                <c:pt idx="496">
                  <c:v>70729.78125</c:v>
                </c:pt>
                <c:pt idx="497">
                  <c:v>68190</c:v>
                </c:pt>
                <c:pt idx="498">
                  <c:v>75011.083333333328</c:v>
                </c:pt>
                <c:pt idx="499">
                  <c:v>68482</c:v>
                </c:pt>
                <c:pt idx="500">
                  <c:v>121548.64285714286</c:v>
                </c:pt>
                <c:pt idx="501">
                  <c:v>114635.35714285714</c:v>
                </c:pt>
                <c:pt idx="502">
                  <c:v>79903.083333333328</c:v>
                </c:pt>
                <c:pt idx="503">
                  <c:v>71845.5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59-4611-8679-19DCB6BF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462096"/>
        <c:axId val="1600073744"/>
      </c:lineChart>
      <c:catAx>
        <c:axId val="206046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0073744"/>
        <c:crosses val="autoZero"/>
        <c:auto val="1"/>
        <c:lblAlgn val="ctr"/>
        <c:lblOffset val="100"/>
        <c:noMultiLvlLbl val="0"/>
      </c:catAx>
      <c:valAx>
        <c:axId val="16000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046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 PROJECT.xlsx]Лист4!Сводная таблица9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Лист4!$C$77</c:f>
              <c:strCache>
                <c:ptCount val="1"/>
                <c:pt idx="0">
                  <c:v>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Лист4!$B$78:$B$84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Лист4!$C$78:$C$84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4-4CD9-BFEE-88E7E08F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060352"/>
        <c:axId val="1600018544"/>
      </c:lineChart>
      <c:lineChart>
        <c:grouping val="standard"/>
        <c:varyColors val="0"/>
        <c:ser>
          <c:idx val="1"/>
          <c:order val="1"/>
          <c:tx>
            <c:strRef>
              <c:f>Лист4!$D$77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Лист4!$B$78:$B$84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Лист4!$D$78:$D$84</c:f>
              <c:numCache>
                <c:formatCode>General</c:formatCode>
                <c:ptCount val="6"/>
                <c:pt idx="0">
                  <c:v>249494.04651162791</c:v>
                </c:pt>
                <c:pt idx="1">
                  <c:v>247401.41057496856</c:v>
                </c:pt>
                <c:pt idx="2">
                  <c:v>237171.50894440411</c:v>
                </c:pt>
                <c:pt idx="3">
                  <c:v>249425.8415538806</c:v>
                </c:pt>
                <c:pt idx="4">
                  <c:v>254313.05920352926</c:v>
                </c:pt>
                <c:pt idx="5">
                  <c:v>221190.85639243902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4-4CD9-BFEE-88E7E08F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565104"/>
        <c:axId val="1600932848"/>
      </c:lineChart>
      <c:catAx>
        <c:axId val="20530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0018544"/>
        <c:crosses val="autoZero"/>
        <c:auto val="1"/>
        <c:lblAlgn val="ctr"/>
        <c:lblOffset val="100"/>
        <c:noMultiLvlLbl val="0"/>
      </c:catAx>
      <c:valAx>
        <c:axId val="16000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?/?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3060352"/>
        <c:crosses val="autoZero"/>
        <c:crossBetween val="between"/>
      </c:valAx>
      <c:valAx>
        <c:axId val="1600932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0565104"/>
        <c:crosses val="max"/>
        <c:crossBetween val="between"/>
      </c:valAx>
      <c:catAx>
        <c:axId val="206056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0932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24</xdr:row>
      <xdr:rowOff>95249</xdr:rowOff>
    </xdr:from>
    <xdr:ext cx="6334125" cy="24288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3D10A5-5261-D718-6ABD-3BE010799492}"/>
            </a:ext>
          </a:extLst>
        </xdr:cNvPr>
        <xdr:cNvSpPr txBox="1"/>
      </xdr:nvSpPr>
      <xdr:spPr>
        <a:xfrm>
          <a:off x="16411575" y="4667249"/>
          <a:ext cx="6334125" cy="2428876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</a:rPr>
            <a:t>топ-3 территорий по доле в общем товарообороте</a:t>
          </a:r>
          <a:r>
            <a:rPr lang="en-US" sz="1400" b="0" i="0" u="none" strike="noStrike">
              <a:solidFill>
                <a:srgbClr val="000000"/>
              </a:solidFill>
              <a:effectLst/>
              <a:latin typeface="Arial" panose="020B0604020202020204" pitchFamily="34" charset="0"/>
            </a:rPr>
            <a:t>:</a:t>
          </a:r>
          <a:endParaRPr lang="en-US" sz="14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4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Санкт-Петербург Север</a:t>
          </a:r>
          <a:r>
            <a:rPr lang="ru-RU" sz="1400">
              <a:effectLst/>
            </a:rPr>
            <a:t> </a:t>
          </a:r>
          <a:endParaRPr lang="en-US" sz="1400">
            <a:effectLst/>
          </a:endParaRPr>
        </a:p>
        <a:p>
          <a:r>
            <a:rPr lang="ru-RU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Санкт-Петербург Юг</a:t>
          </a:r>
          <a:endParaRPr lang="en-US" sz="14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400">
              <a:effectLst/>
            </a:rPr>
            <a:t> </a:t>
          </a:r>
          <a:r>
            <a:rPr lang="ru-RU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Москва Запад</a:t>
          </a:r>
          <a:r>
            <a:rPr lang="ru-RU" sz="1400">
              <a:effectLst/>
            </a:rPr>
            <a:t> </a:t>
          </a:r>
          <a:endParaRPr lang="en-US" sz="1400">
            <a:effectLst/>
          </a:endParaRPr>
        </a:p>
        <a:p>
          <a:endParaRPr lang="en-US" sz="1100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топ-3 территорий по товарообороту на склад за последнюю неделю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 sz="16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Москва Восток</a:t>
          </a:r>
          <a:r>
            <a:rPr lang="ru-RU" sz="1400">
              <a:effectLst/>
            </a:rPr>
            <a:t> </a:t>
          </a:r>
          <a:endParaRPr lang="en-US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Москва Запад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Санкт-Петербург Север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400">
            <a:effectLst/>
          </a:endParaRPr>
        </a:p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459</xdr:row>
      <xdr:rowOff>23812</xdr:rowOff>
    </xdr:from>
    <xdr:to>
      <xdr:col>15</xdr:col>
      <xdr:colOff>380999</xdr:colOff>
      <xdr:row>488</xdr:row>
      <xdr:rowOff>104775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7B19830-8AB5-6904-835C-A7B6A1DD3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11</xdr:row>
      <xdr:rowOff>47625</xdr:rowOff>
    </xdr:from>
    <xdr:to>
      <xdr:col>18</xdr:col>
      <xdr:colOff>295275</xdr:colOff>
      <xdr:row>38</xdr:row>
      <xdr:rowOff>9525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74B090B-C03B-4E39-ACC4-8719EFC17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97.17629166667" createdVersion="8" refreshedVersion="8" minRefreshableVersion="3" recordCount="512" xr:uid="{70ADE011-A4DB-4A4F-81F9-165F998840E0}">
  <cacheSource type="worksheet">
    <worksheetSource ref="A1:I1048576" sheet="Лист1"/>
  </cacheSource>
  <cacheFields count="10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 count="503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  <m/>
      </sharedItems>
    </cacheField>
    <cacheField name="Товарооборот, руб" numFmtId="0">
      <sharedItems containsString="0" containsBlank="1" containsNumber="1" minValue="389013" maxValue="54172029" count="505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  <m/>
      </sharedItems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 count="482">
        <n v="441"/>
        <n v="490"/>
        <n v="464"/>
        <n v="2145"/>
        <n v="1860"/>
        <n v="1874"/>
        <n v="1735"/>
        <n v="1519"/>
        <n v="1684"/>
        <n v="1708"/>
        <n v="2044"/>
        <n v="1826"/>
        <n v="1656"/>
        <n v="1787"/>
        <n v="1921"/>
        <n v="1773"/>
        <n v="1539"/>
        <n v="1698"/>
        <n v="1520"/>
        <n v="1784"/>
        <n v="2340"/>
        <n v="2087"/>
        <n v="1712"/>
        <n v="2016"/>
        <n v="1646"/>
        <n v="1542"/>
        <n v="1999"/>
        <n v="2271"/>
        <n v="2597"/>
        <n v="1886"/>
        <n v="5593"/>
        <n v="5389"/>
        <n v="5206"/>
        <n v="4556"/>
        <n v="4968"/>
        <n v="5378"/>
        <n v="4157"/>
        <n v="5493"/>
        <n v="6118"/>
        <n v="4800"/>
        <n v="5207"/>
        <n v="5698"/>
        <n v="5188"/>
        <n v="5465"/>
        <n v="5251"/>
        <n v="5155"/>
        <n v="4709"/>
        <n v="6276"/>
        <n v="5210"/>
        <n v="5120"/>
        <n v="5495"/>
        <n v="4635"/>
        <n v="4903"/>
        <n v="5035"/>
        <n v="760"/>
        <n v="649"/>
        <n v="591"/>
        <n v="644"/>
        <n v="462"/>
        <n v="502"/>
        <n v="416"/>
        <n v="692"/>
        <n v="554"/>
        <n v="526"/>
        <n v="677"/>
        <n v="745"/>
        <n v="511"/>
        <n v="580"/>
        <n v="612"/>
        <n v="5760"/>
        <n v="402"/>
        <n v="6735"/>
        <n v="465"/>
        <n v="828"/>
        <n v="5355"/>
        <n v="739"/>
        <n v="448"/>
        <n v="642"/>
        <n v="638"/>
        <n v="563"/>
        <n v="639"/>
        <n v="749"/>
        <n v="865"/>
        <n v="791"/>
        <n v="2080"/>
        <n v="1871"/>
        <n v="1851"/>
        <n v="1582"/>
        <n v="1534"/>
        <n v="1217"/>
        <n v="2036"/>
        <n v="1497"/>
        <n v="1649"/>
        <n v="1949"/>
        <n v="1889"/>
        <n v="1417"/>
        <n v="1439"/>
        <n v="1625"/>
        <n v="1402"/>
        <n v="1499"/>
        <n v="2266"/>
        <n v="2011"/>
        <n v="1848"/>
        <n v="1522"/>
        <n v="1530"/>
        <n v="2015"/>
        <n v="2060"/>
        <n v="2451"/>
        <n v="2088"/>
        <n v="17914"/>
        <n v="16191"/>
        <n v="15744"/>
        <n v="16420"/>
        <n v="16525"/>
        <n v="17368"/>
        <n v="14009"/>
        <n v="16459"/>
        <n v="17002"/>
        <n v="16387"/>
        <n v="16373"/>
        <n v="17095"/>
        <n v="15665"/>
        <n v="16450"/>
        <n v="15304"/>
        <n v="15778"/>
        <n v="16376"/>
        <n v="19856"/>
        <n v="15822"/>
        <n v="18042"/>
        <n v="16437"/>
        <n v="20452"/>
        <n v="14582"/>
        <n v="16432"/>
        <n v="22291"/>
        <n v="20771"/>
        <n v="20079"/>
        <n v="20132"/>
        <n v="20495"/>
        <n v="21863"/>
        <n v="16932"/>
        <n v="21153"/>
        <n v="20602"/>
        <n v="21106"/>
        <n v="20911"/>
        <n v="21674"/>
        <n v="18944"/>
        <n v="20914"/>
        <n v="19965"/>
        <n v="17235"/>
        <n v="18861"/>
        <n v="20243"/>
        <n v="20218"/>
        <n v="24574"/>
        <n v="16453"/>
        <n v="20358"/>
        <n v="22368"/>
        <n v="20368"/>
        <n v="24620"/>
        <n v="18014"/>
        <n v="21004"/>
        <n v="5286"/>
        <n v="5094"/>
        <n v="4918"/>
        <n v="5413"/>
        <n v="4508"/>
        <n v="4937"/>
        <n v="3442"/>
        <n v="4770"/>
        <n v="5457"/>
        <n v="4418"/>
        <n v="4816"/>
        <n v="5914"/>
        <n v="4575"/>
        <n v="4923"/>
        <n v="4967"/>
        <n v="21392"/>
        <n v="4751"/>
        <n v="24325"/>
        <n v="4384"/>
        <n v="5651"/>
        <n v="20868"/>
        <n v="4641"/>
        <n v="5143"/>
        <n v="5746"/>
        <n v="4199"/>
        <n v="4826"/>
        <n v="4915"/>
        <n v="2427"/>
        <n v="2245"/>
        <n v="2054"/>
        <n v="1891"/>
        <n v="1804"/>
        <n v="1676"/>
        <n v="1613"/>
        <n v="2418"/>
        <n v="2468"/>
        <n v="1926"/>
        <n v="2335"/>
        <n v="2410"/>
        <n v="1757"/>
        <n v="1846"/>
        <n v="2061"/>
        <n v="5215"/>
        <n v="1716"/>
        <n v="6645"/>
        <n v="1747"/>
        <n v="2460"/>
        <n v="4840"/>
        <n v="2330"/>
        <n v="1756"/>
        <n v="2120"/>
        <n v="1957"/>
        <n v="1879"/>
        <n v="2254"/>
        <n v="2522"/>
        <n v="2793"/>
        <n v="2454"/>
        <n v="1111"/>
        <n v="1012"/>
        <n v="971"/>
        <n v="849"/>
        <n v="750"/>
        <n v="786"/>
        <n v="751"/>
        <n v="1140"/>
        <n v="996"/>
        <n v="845"/>
        <n v="1045"/>
        <n v="1050"/>
        <n v="922"/>
        <n v="780"/>
        <n v="898"/>
        <n v="784"/>
        <n v="839"/>
        <n v="1294"/>
        <n v="1142"/>
        <n v="950"/>
        <n v="879"/>
        <n v="805"/>
        <n v="1128"/>
        <n v="747"/>
        <n v="930"/>
        <n v="623"/>
        <n v="390"/>
        <n v="1599"/>
        <n v="274"/>
        <n v="812"/>
        <n v="294"/>
        <n v="624"/>
        <n v="455"/>
        <n v="1505"/>
        <n v="599"/>
        <n v="1186"/>
        <n v="1697"/>
        <n v="467"/>
        <n v="840"/>
        <n v="1097"/>
        <n v="835"/>
        <n v="262"/>
        <n v="706"/>
        <n v="492"/>
        <n v="480"/>
        <n v="779"/>
        <n v="2039"/>
        <n v="1831"/>
        <n v="1790"/>
        <n v="1479"/>
        <n v="1206"/>
        <n v="1814"/>
        <n v="1987"/>
        <n v="1598"/>
        <n v="1650"/>
        <n v="1823"/>
        <n v="1622"/>
        <n v="1605"/>
        <n v="917"/>
        <n v="1314"/>
        <n v="1048"/>
        <n v="1509"/>
        <n v="2195"/>
        <n v="876"/>
        <n v="1899"/>
        <n v="1662"/>
        <n v="1836"/>
        <n v="1580"/>
        <n v="1868"/>
        <n v="13186"/>
        <n v="12943"/>
        <n v="2056"/>
        <n v="2174"/>
        <n v="1875"/>
        <n v="14049"/>
        <n v="13867"/>
        <n v="11698"/>
        <n v="12016"/>
        <n v="14423"/>
        <n v="12747"/>
        <n v="12429"/>
        <n v="15369"/>
        <n v="15222"/>
        <n v="12000"/>
        <n v="14005"/>
        <n v="13792"/>
        <n v="13469"/>
        <n v="12306"/>
        <n v="12007"/>
        <n v="15277"/>
        <n v="14103"/>
        <n v="17295"/>
        <n v="12983"/>
        <n v="13251"/>
        <n v="14569"/>
        <n v="14098"/>
        <n v="13495"/>
        <n v="12822"/>
        <n v="13170"/>
        <n v="13070"/>
        <n v="11128"/>
        <n v="11288"/>
        <n v="13606"/>
        <n v="11622"/>
        <n v="14482"/>
        <n v="14205"/>
        <n v="11614"/>
        <n v="13240"/>
        <n v="13298"/>
        <n v="12775"/>
        <n v="11522"/>
        <n v="13684"/>
        <n v="14823"/>
        <n v="15030"/>
        <n v="13406"/>
        <n v="16221"/>
        <n v="12854"/>
        <n v="12336"/>
        <n v="12817"/>
        <n v="13832"/>
        <n v="13563"/>
        <n v="12743"/>
        <n v="12211"/>
        <n v="659"/>
        <n v="636"/>
        <n v="13106"/>
        <n v="14590"/>
        <n v="12409"/>
        <n v="920"/>
        <n v="857"/>
        <n v="859"/>
        <n v="654"/>
        <n v="622"/>
        <n v="567"/>
        <n v="577"/>
        <n v="721"/>
        <n v="888"/>
        <n v="890"/>
        <n v="854"/>
        <n v="585"/>
        <n v="701"/>
        <n v="1031"/>
        <n v="989"/>
        <n v="792"/>
        <n v="703"/>
        <n v="676"/>
        <n v="1006"/>
        <n v="914"/>
        <n v="453"/>
        <n v="345"/>
        <n v="532"/>
        <n v="400"/>
        <n v="420"/>
        <n v="2079"/>
        <n v="2046"/>
        <n v="261"/>
        <n v="1597"/>
        <n v="1216"/>
        <n v="1020"/>
        <n v="1834"/>
        <n v="1706"/>
        <n v="2025"/>
        <n v="530"/>
        <n v="2111"/>
        <n v="5330"/>
        <n v="5965"/>
        <n v="5468"/>
        <n v="1029"/>
        <n v="5165"/>
        <n v="4695"/>
        <n v="5184"/>
        <n v="757"/>
        <n v="965"/>
        <n v="719"/>
        <n v="494"/>
        <n v="5751"/>
        <n v="645"/>
        <n v="627"/>
        <n v="743"/>
        <n v="873"/>
        <n v="2306"/>
        <n v="2136"/>
        <n v="2530"/>
        <n v="1858"/>
        <n v="1675"/>
        <n v="1940"/>
        <n v="2249"/>
        <n v="17115"/>
        <n v="17088"/>
        <n v="16285"/>
        <n v="14043"/>
        <n v="16110"/>
        <n v="15804"/>
        <n v="17808"/>
        <n v="21384"/>
        <n v="21427"/>
        <n v="20325"/>
        <n v="18066"/>
        <n v="22403"/>
        <n v="20449"/>
        <n v="20247"/>
        <n v="21862"/>
        <n v="4951"/>
        <n v="4857"/>
        <n v="4722"/>
        <n v="4150"/>
        <n v="25828"/>
        <n v="4885"/>
        <n v="4285"/>
        <n v="4862"/>
        <n v="2430"/>
        <n v="2861"/>
        <n v="2531"/>
        <n v="1916"/>
        <n v="5672"/>
        <n v="1993"/>
        <n v="2255"/>
        <n v="1203"/>
        <n v="1268"/>
        <n v="1185"/>
        <n v="925"/>
        <n v="980"/>
        <n v="809"/>
        <n v="903"/>
        <n v="1019"/>
        <n v="684"/>
        <n v="1296"/>
        <n v="729"/>
        <n v="688"/>
        <n v="1873"/>
        <n v="1859"/>
        <n v="1527"/>
        <n v="981"/>
        <n v="1741"/>
        <n v="1635"/>
        <n v="1780"/>
        <n v="2064"/>
        <n v="13942"/>
        <n v="14050"/>
        <n v="12299"/>
        <n v="11100"/>
        <n v="12460"/>
        <n v="11935"/>
        <n v="13544"/>
        <n v="13091"/>
        <n v="13014"/>
        <n v="11864"/>
        <n v="10570"/>
        <n v="14507"/>
        <n v="12012"/>
        <n v="11194"/>
        <n v="12791"/>
        <n v="14031"/>
        <n v="409"/>
        <n v="985"/>
        <n v="864"/>
        <n v="834"/>
        <n v="817"/>
        <n v="962"/>
        <n v="237"/>
        <n v="491"/>
        <n v="500"/>
        <n v="1014"/>
        <n v="923"/>
        <m/>
      </sharedItems>
    </cacheField>
    <cacheField name="Количество клиентов" numFmtId="0">
      <sharedItems containsString="0" containsBlank="1" containsNumber="1" containsInteger="1" minValue="175" maxValue="23974" count="483">
        <n v="368"/>
        <n v="409"/>
        <n v="390"/>
        <n v="1947"/>
        <n v="1704"/>
        <n v="1705"/>
        <n v="1568"/>
        <n v="1372"/>
        <n v="1528"/>
        <n v="1534"/>
        <n v="1863"/>
        <n v="1633"/>
        <n v="1516"/>
        <n v="1626"/>
        <n v="1767"/>
        <n v="1604"/>
        <n v="1404"/>
        <n v="1554"/>
        <n v="1373"/>
        <n v="1632"/>
        <n v="2146"/>
        <n v="1914"/>
        <n v="1552"/>
        <n v="1846"/>
        <n v="1492"/>
        <n v="1405"/>
        <n v="1829"/>
        <n v="2085"/>
        <n v="2376"/>
        <n v="1736"/>
        <n v="5177"/>
        <n v="5024"/>
        <n v="4843"/>
        <n v="4220"/>
        <n v="4596"/>
        <n v="4985"/>
        <n v="3823"/>
        <n v="5119"/>
        <n v="5564"/>
        <n v="4470"/>
        <n v="4868"/>
        <n v="5258"/>
        <n v="4800"/>
        <n v="5096"/>
        <n v="4853"/>
        <n v="4762"/>
        <n v="4348"/>
        <n v="5801"/>
        <n v="4841"/>
        <n v="4737"/>
        <n v="5093"/>
        <n v="4266"/>
        <n v="4527"/>
        <n v="4683"/>
        <n v="672"/>
        <n v="568"/>
        <n v="513"/>
        <n v="559"/>
        <n v="396"/>
        <n v="433"/>
        <n v="341"/>
        <n v="601"/>
        <n v="472"/>
        <n v="448"/>
        <n v="591"/>
        <n v="654"/>
        <n v="437"/>
        <n v="506"/>
        <n v="530"/>
        <n v="5367"/>
        <n v="333"/>
        <n v="6264"/>
        <n v="734"/>
        <n v="4969"/>
        <n v="642"/>
        <n v="376"/>
        <n v="556"/>
        <n v="547"/>
        <n v="486"/>
        <n v="557"/>
        <n v="655"/>
        <n v="763"/>
        <n v="697"/>
        <n v="1844"/>
        <n v="1799"/>
        <n v="1660"/>
        <n v="1635"/>
        <n v="1403"/>
        <n v="1369"/>
        <n v="1048"/>
        <n v="1790"/>
        <n v="1291"/>
        <n v="1460"/>
        <n v="1724"/>
        <n v="1690"/>
        <n v="1245"/>
        <n v="1265"/>
        <n v="1444"/>
        <n v="1234"/>
        <n v="1323"/>
        <n v="1993"/>
        <n v="1791"/>
        <n v="1322"/>
        <n v="1649"/>
        <n v="1340"/>
        <n v="1338"/>
        <n v="1803"/>
        <n v="1826"/>
        <n v="2178"/>
        <n v="1848"/>
        <n v="16631"/>
        <n v="15102"/>
        <n v="14685"/>
        <n v="15169"/>
        <n v="15310"/>
        <n v="16077"/>
        <n v="12920"/>
        <n v="15355"/>
        <n v="15570"/>
        <n v="15322"/>
        <n v="15223"/>
        <n v="15919"/>
        <n v="14501"/>
        <n v="15320"/>
        <n v="14315"/>
        <n v="14624"/>
        <n v="15197"/>
        <n v="18325"/>
        <n v="14753"/>
        <n v="15285"/>
        <n v="18857"/>
        <n v="13512"/>
        <n v="15345"/>
        <n v="20635"/>
        <n v="19338"/>
        <n v="18721"/>
        <n v="18617"/>
        <n v="18964"/>
        <n v="20160"/>
        <n v="15601"/>
        <n v="19673"/>
        <n v="18845"/>
        <n v="19651"/>
        <n v="19358"/>
        <n v="20155"/>
        <n v="17541"/>
        <n v="19479"/>
        <n v="18573"/>
        <n v="16052"/>
        <n v="17420"/>
        <n v="18711"/>
        <n v="18647"/>
        <n v="22609"/>
        <n v="15289"/>
        <n v="18890"/>
        <n v="20625"/>
        <n v="18884"/>
        <n v="22641"/>
        <n v="16675"/>
        <n v="19556"/>
        <n v="4867"/>
        <n v="4716"/>
        <n v="4554"/>
        <n v="4959"/>
        <n v="4149"/>
        <n v="4561"/>
        <n v="3147"/>
        <n v="4424"/>
        <n v="4916"/>
        <n v="4088"/>
        <n v="4452"/>
        <n v="5384"/>
        <n v="4206"/>
        <n v="4560"/>
        <n v="4583"/>
        <n v="19869"/>
        <n v="4370"/>
        <n v="22469"/>
        <n v="4025"/>
        <n v="5212"/>
        <n v="19342"/>
        <n v="4274"/>
        <n v="4715"/>
        <n v="5277"/>
        <n v="3867"/>
        <n v="4426"/>
        <n v="4562"/>
        <n v="2213"/>
        <n v="2053"/>
        <n v="1883"/>
        <n v="1709"/>
        <n v="1638"/>
        <n v="1457"/>
        <n v="2215"/>
        <n v="2221"/>
        <n v="1745"/>
        <n v="2126"/>
        <n v="2202"/>
        <n v="1596"/>
        <n v="1681"/>
        <n v="1876"/>
        <n v="4848"/>
        <n v="1561"/>
        <n v="6122"/>
        <n v="1570"/>
        <n v="2226"/>
        <n v="4475"/>
        <n v="2142"/>
        <n v="1586"/>
        <n v="1921"/>
        <n v="1755"/>
        <n v="1695"/>
        <n v="2061"/>
        <n v="2295"/>
        <n v="2539"/>
        <n v="2239"/>
        <n v="992"/>
        <n v="900"/>
        <n v="856"/>
        <n v="740"/>
        <n v="647"/>
        <n v="695"/>
        <n v="651"/>
        <n v="1016"/>
        <n v="888"/>
        <n v="743"/>
        <n v="930"/>
        <n v="938"/>
        <n v="823"/>
        <n v="690"/>
        <n v="795"/>
        <n v="696"/>
        <n v="733"/>
        <n v="1155"/>
        <n v="1020"/>
        <n v="691"/>
        <n v="848"/>
        <n v="768"/>
        <n v="703"/>
        <n v="1001"/>
        <n v="827"/>
        <n v="535"/>
        <n v="315"/>
        <n v="1450"/>
        <n v="203"/>
        <n v="711"/>
        <n v="225"/>
        <n v="538"/>
        <n v="652"/>
        <n v="664"/>
        <n v="381"/>
        <n v="1368"/>
        <n v="515"/>
        <n v="1054"/>
        <n v="384"/>
        <n v="1499"/>
        <n v="389"/>
        <n v="725"/>
        <n v="968"/>
        <n v="736"/>
        <n v="195"/>
        <n v="608"/>
        <n v="412"/>
        <n v="398"/>
        <n v="673"/>
        <n v="1868"/>
        <n v="1667"/>
        <n v="1412"/>
        <n v="1346"/>
        <n v="1080"/>
        <n v="1655"/>
        <n v="1454"/>
        <n v="1505"/>
        <n v="1678"/>
        <n v="1482"/>
        <n v="1447"/>
        <n v="802"/>
        <n v="1192"/>
        <n v="918"/>
        <n v="1374"/>
        <n v="1999"/>
        <n v="762"/>
        <n v="1738"/>
        <n v="1506"/>
        <n v="1680"/>
        <n v="1380"/>
        <n v="1435"/>
        <n v="1706"/>
        <n v="12251"/>
        <n v="12072"/>
        <n v="1879"/>
        <n v="1957"/>
        <n v="1701"/>
        <n v="13118"/>
        <n v="12987"/>
        <n v="10989"/>
        <n v="11137"/>
        <n v="13432"/>
        <n v="11884"/>
        <n v="11477"/>
        <n v="14299"/>
        <n v="13873"/>
        <n v="11194"/>
        <n v="13002"/>
        <n v="12834"/>
        <n v="12486"/>
        <n v="11532"/>
        <n v="11245"/>
        <n v="14163"/>
        <n v="16010"/>
        <n v="12056"/>
        <n v="12255"/>
        <n v="13566"/>
        <n v="13106"/>
        <n v="12517"/>
        <n v="11916"/>
        <n v="12299"/>
        <n v="12244"/>
        <n v="10467"/>
        <n v="10492"/>
        <n v="12697"/>
        <n v="10754"/>
        <n v="13510"/>
        <n v="13026"/>
        <n v="10862"/>
        <n v="12360"/>
        <n v="12428"/>
        <n v="11887"/>
        <n v="10803"/>
        <n v="12690"/>
        <n v="13751"/>
        <n v="13956"/>
        <n v="12518"/>
        <n v="15065"/>
        <n v="11954"/>
        <n v="11519"/>
        <n v="11865"/>
        <n v="12864"/>
        <n v="12604"/>
        <n v="11858"/>
        <n v="11427"/>
        <n v="575"/>
        <n v="12164"/>
        <n v="13551"/>
        <n v="11582"/>
        <n v="818"/>
        <n v="757"/>
        <n v="746"/>
        <n v="570"/>
        <n v="493"/>
        <n v="625"/>
        <n v="659"/>
        <n v="786"/>
        <n v="794"/>
        <n v="658"/>
        <n v="756"/>
        <n v="502"/>
        <n v="611"/>
        <n v="887"/>
        <n v="550"/>
        <n v="609"/>
        <n v="904"/>
        <n v="804"/>
        <n v="370"/>
        <n v="255"/>
        <n v="449"/>
        <n v="329"/>
        <n v="347"/>
        <n v="1893"/>
        <n v="1853"/>
        <n v="188"/>
        <n v="1101"/>
        <n v="911"/>
        <n v="1548"/>
        <n v="1742"/>
        <n v="1849"/>
        <n v="447"/>
        <n v="1917"/>
        <n v="4977"/>
        <n v="5533"/>
        <n v="5081"/>
        <n v="925"/>
        <n v="4483"/>
        <n v="4813"/>
        <n v="4372"/>
        <n v="4778"/>
        <n v="660"/>
        <n v="861"/>
        <n v="627"/>
        <n v="421"/>
        <n v="5319"/>
        <n v="565"/>
        <n v="545"/>
        <n v="770"/>
        <n v="1856"/>
        <n v="2054"/>
        <n v="1899"/>
        <n v="2270"/>
        <n v="1648"/>
        <n v="1475"/>
        <n v="1715"/>
        <n v="2000"/>
        <n v="15962"/>
        <n v="15804"/>
        <n v="15130"/>
        <n v="13167"/>
        <n v="14992"/>
        <n v="14738"/>
        <n v="16486"/>
        <n v="19897"/>
        <n v="19799"/>
        <n v="18935"/>
        <n v="16883"/>
        <n v="20676"/>
        <n v="19060"/>
        <n v="18812"/>
        <n v="20235"/>
        <n v="4584"/>
        <n v="4456"/>
        <n v="4352"/>
        <n v="3838"/>
        <n v="23974"/>
        <n v="4502"/>
        <n v="3950"/>
        <n v="4476"/>
        <n v="2216"/>
        <n v="2612"/>
        <n v="2296"/>
        <n v="1733"/>
        <n v="5198"/>
        <n v="1796"/>
        <n v="2045"/>
        <n v="2379"/>
        <n v="1077"/>
        <n v="1129"/>
        <n v="1042"/>
        <n v="714"/>
        <n v="816"/>
        <n v="777"/>
        <n v="867"/>
        <n v="702"/>
        <n v="792"/>
        <n v="895"/>
        <n v="585"/>
        <n v="1153"/>
        <n v="636"/>
        <n v="548"/>
        <n v="598"/>
        <n v="1697"/>
        <n v="1720"/>
        <n v="1389"/>
        <n v="859"/>
        <n v="1597"/>
        <n v="1487"/>
        <n v="1615"/>
        <n v="1896"/>
        <n v="12986"/>
        <n v="13027"/>
        <n v="11448"/>
        <n v="10407"/>
        <n v="11665"/>
        <n v="11178"/>
        <n v="12643"/>
        <n v="12216"/>
        <n v="12095"/>
        <n v="11071"/>
        <n v="9926"/>
        <n v="13386"/>
        <n v="11308"/>
        <n v="10554"/>
        <n v="11950"/>
        <n v="12943"/>
        <n v="224"/>
        <n v="564"/>
        <n v="765"/>
        <n v="735"/>
        <n v="718"/>
        <n v="175"/>
        <n v="411"/>
        <n v="418"/>
        <n v="893"/>
        <n v="824"/>
        <m/>
      </sharedItems>
    </cacheField>
    <cacheField name="Товарооборот на склад" numFmtId="0">
      <sharedItems containsString="0" containsBlank="1" containsNumber="1" minValue="26979.4" maxValue="496419" count="505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  <m/>
      </sharedItems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/>
      </sharedItems>
    </cacheField>
    <cacheField name="Поле1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d v="2020-05-31T00:00:00"/>
    <x v="0"/>
    <x v="0"/>
    <x v="0"/>
    <n v="15"/>
    <x v="0"/>
    <x v="0"/>
    <x v="0"/>
    <x v="0"/>
  </r>
  <r>
    <d v="2020-05-30T00:00:00"/>
    <x v="0"/>
    <x v="1"/>
    <x v="1"/>
    <n v="15"/>
    <x v="1"/>
    <x v="1"/>
    <x v="1"/>
    <x v="0"/>
  </r>
  <r>
    <d v="2020-05-28T00:00:00"/>
    <x v="0"/>
    <x v="2"/>
    <x v="2"/>
    <n v="15"/>
    <x v="2"/>
    <x v="2"/>
    <x v="2"/>
    <x v="0"/>
  </r>
  <r>
    <d v="2020-05-16T00:00:00"/>
    <x v="1"/>
    <x v="3"/>
    <x v="3"/>
    <n v="21"/>
    <x v="3"/>
    <x v="3"/>
    <x v="3"/>
    <x v="1"/>
  </r>
  <r>
    <d v="2020-05-19T00:00:00"/>
    <x v="1"/>
    <x v="4"/>
    <x v="4"/>
    <n v="21"/>
    <x v="4"/>
    <x v="4"/>
    <x v="4"/>
    <x v="2"/>
  </r>
  <r>
    <d v="2020-05-17T00:00:00"/>
    <x v="1"/>
    <x v="5"/>
    <x v="5"/>
    <n v="21"/>
    <x v="5"/>
    <x v="5"/>
    <x v="5"/>
    <x v="1"/>
  </r>
  <r>
    <d v="2020-05-09T00:00:00"/>
    <x v="1"/>
    <x v="6"/>
    <x v="6"/>
    <n v="21"/>
    <x v="6"/>
    <x v="6"/>
    <x v="6"/>
    <x v="3"/>
  </r>
  <r>
    <d v="2020-05-04T00:00:00"/>
    <x v="1"/>
    <x v="7"/>
    <x v="7"/>
    <n v="20"/>
    <x v="7"/>
    <x v="7"/>
    <x v="7"/>
    <x v="3"/>
  </r>
  <r>
    <d v="2020-04-29T00:00:00"/>
    <x v="1"/>
    <x v="8"/>
    <x v="8"/>
    <n v="18"/>
    <x v="8"/>
    <x v="8"/>
    <x v="8"/>
    <x v="4"/>
  </r>
  <r>
    <d v="2020-05-02T00:00:00"/>
    <x v="1"/>
    <x v="9"/>
    <x v="9"/>
    <n v="18"/>
    <x v="9"/>
    <x v="9"/>
    <x v="9"/>
    <x v="4"/>
  </r>
  <r>
    <d v="2020-05-26T00:00:00"/>
    <x v="1"/>
    <x v="10"/>
    <x v="10"/>
    <n v="20"/>
    <x v="10"/>
    <x v="10"/>
    <x v="10"/>
    <x v="0"/>
  </r>
  <r>
    <d v="2020-05-01T00:00:00"/>
    <x v="1"/>
    <x v="11"/>
    <x v="11"/>
    <n v="18"/>
    <x v="11"/>
    <x v="11"/>
    <x v="11"/>
    <x v="4"/>
  </r>
  <r>
    <d v="2020-05-12T00:00:00"/>
    <x v="1"/>
    <x v="12"/>
    <x v="12"/>
    <n v="21"/>
    <x v="12"/>
    <x v="12"/>
    <x v="12"/>
    <x v="1"/>
  </r>
  <r>
    <d v="2020-05-21T00:00:00"/>
    <x v="1"/>
    <x v="13"/>
    <x v="13"/>
    <n v="21"/>
    <x v="13"/>
    <x v="13"/>
    <x v="13"/>
    <x v="2"/>
  </r>
  <r>
    <d v="2020-05-20T00:00:00"/>
    <x v="1"/>
    <x v="14"/>
    <x v="14"/>
    <n v="21"/>
    <x v="14"/>
    <x v="14"/>
    <x v="14"/>
    <x v="2"/>
  </r>
  <r>
    <d v="2020-05-05T00:00:00"/>
    <x v="1"/>
    <x v="15"/>
    <x v="15"/>
    <n v="20"/>
    <x v="15"/>
    <x v="15"/>
    <x v="15"/>
    <x v="3"/>
  </r>
  <r>
    <d v="2020-04-28T00:00:00"/>
    <x v="1"/>
    <x v="16"/>
    <x v="16"/>
    <n v="18"/>
    <x v="16"/>
    <x v="16"/>
    <x v="16"/>
    <x v="4"/>
  </r>
  <r>
    <d v="2020-05-13T00:00:00"/>
    <x v="1"/>
    <x v="17"/>
    <x v="17"/>
    <n v="21"/>
    <x v="17"/>
    <x v="17"/>
    <x v="17"/>
    <x v="1"/>
  </r>
  <r>
    <d v="2020-05-03T00:00:00"/>
    <x v="1"/>
    <x v="18"/>
    <x v="18"/>
    <n v="20"/>
    <x v="18"/>
    <x v="18"/>
    <x v="18"/>
    <x v="4"/>
  </r>
  <r>
    <d v="2020-05-06T00:00:00"/>
    <x v="1"/>
    <x v="19"/>
    <x v="19"/>
    <n v="20"/>
    <x v="19"/>
    <x v="19"/>
    <x v="19"/>
    <x v="3"/>
  </r>
  <r>
    <d v="2020-05-23T00:00:00"/>
    <x v="1"/>
    <x v="20"/>
    <x v="20"/>
    <n v="21"/>
    <x v="20"/>
    <x v="20"/>
    <x v="20"/>
    <x v="2"/>
  </r>
  <r>
    <d v="2020-05-25T00:00:00"/>
    <x v="1"/>
    <x v="21"/>
    <x v="21"/>
    <n v="20"/>
    <x v="21"/>
    <x v="21"/>
    <x v="21"/>
    <x v="0"/>
  </r>
  <r>
    <d v="2020-04-30T00:00:00"/>
    <x v="1"/>
    <x v="22"/>
    <x v="22"/>
    <n v="19"/>
    <x v="22"/>
    <x v="22"/>
    <x v="22"/>
    <x v="4"/>
  </r>
  <r>
    <d v="2020-05-10T00:00:00"/>
    <x v="1"/>
    <x v="23"/>
    <x v="23"/>
    <n v="21"/>
    <x v="23"/>
    <x v="23"/>
    <x v="23"/>
    <x v="3"/>
  </r>
  <r>
    <d v="2020-05-08T00:00:00"/>
    <x v="1"/>
    <x v="24"/>
    <x v="24"/>
    <n v="21"/>
    <x v="24"/>
    <x v="24"/>
    <x v="24"/>
    <x v="3"/>
  </r>
  <r>
    <d v="2020-05-07T00:00:00"/>
    <x v="1"/>
    <x v="25"/>
    <x v="25"/>
    <n v="21"/>
    <x v="25"/>
    <x v="25"/>
    <x v="25"/>
    <x v="3"/>
  </r>
  <r>
    <d v="2020-05-24T00:00:00"/>
    <x v="1"/>
    <x v="26"/>
    <x v="26"/>
    <n v="20"/>
    <x v="26"/>
    <x v="26"/>
    <x v="26"/>
    <x v="2"/>
  </r>
  <r>
    <d v="2020-05-31T00:00:00"/>
    <x v="1"/>
    <x v="27"/>
    <x v="27"/>
    <n v="21"/>
    <x v="27"/>
    <x v="27"/>
    <x v="27"/>
    <x v="0"/>
  </r>
  <r>
    <d v="2020-05-30T00:00:00"/>
    <x v="1"/>
    <x v="28"/>
    <x v="28"/>
    <n v="20"/>
    <x v="28"/>
    <x v="28"/>
    <x v="28"/>
    <x v="0"/>
  </r>
  <r>
    <d v="2020-05-28T00:00:00"/>
    <x v="1"/>
    <x v="29"/>
    <x v="29"/>
    <n v="20"/>
    <x v="29"/>
    <x v="29"/>
    <x v="29"/>
    <x v="0"/>
  </r>
  <r>
    <d v="2020-05-16T00:00:00"/>
    <x v="2"/>
    <x v="30"/>
    <x v="30"/>
    <n v="31"/>
    <x v="30"/>
    <x v="30"/>
    <x v="30"/>
    <x v="1"/>
  </r>
  <r>
    <d v="2020-05-19T00:00:00"/>
    <x v="2"/>
    <x v="31"/>
    <x v="31"/>
    <n v="31"/>
    <x v="31"/>
    <x v="31"/>
    <x v="31"/>
    <x v="2"/>
  </r>
  <r>
    <d v="2020-05-17T00:00:00"/>
    <x v="2"/>
    <x v="32"/>
    <x v="32"/>
    <n v="31"/>
    <x v="32"/>
    <x v="32"/>
    <x v="32"/>
    <x v="1"/>
  </r>
  <r>
    <d v="2020-05-09T00:00:00"/>
    <x v="2"/>
    <x v="33"/>
    <x v="33"/>
    <n v="31"/>
    <x v="33"/>
    <x v="33"/>
    <x v="33"/>
    <x v="3"/>
  </r>
  <r>
    <d v="2020-05-04T00:00:00"/>
    <x v="2"/>
    <x v="34"/>
    <x v="34"/>
    <n v="31"/>
    <x v="34"/>
    <x v="34"/>
    <x v="34"/>
    <x v="3"/>
  </r>
  <r>
    <d v="2020-04-29T00:00:00"/>
    <x v="2"/>
    <x v="35"/>
    <x v="35"/>
    <n v="31"/>
    <x v="35"/>
    <x v="35"/>
    <x v="35"/>
    <x v="4"/>
  </r>
  <r>
    <d v="2020-05-02T00:00:00"/>
    <x v="2"/>
    <x v="36"/>
    <x v="36"/>
    <n v="31"/>
    <x v="36"/>
    <x v="36"/>
    <x v="36"/>
    <x v="4"/>
  </r>
  <r>
    <d v="2020-05-26T00:00:00"/>
    <x v="2"/>
    <x v="37"/>
    <x v="37"/>
    <n v="31"/>
    <x v="37"/>
    <x v="37"/>
    <x v="37"/>
    <x v="0"/>
  </r>
  <r>
    <d v="2020-05-01T00:00:00"/>
    <x v="2"/>
    <x v="38"/>
    <x v="38"/>
    <n v="31"/>
    <x v="38"/>
    <x v="38"/>
    <x v="38"/>
    <x v="4"/>
  </r>
  <r>
    <d v="2020-05-12T00:00:00"/>
    <x v="2"/>
    <x v="39"/>
    <x v="39"/>
    <n v="31"/>
    <x v="39"/>
    <x v="39"/>
    <x v="39"/>
    <x v="1"/>
  </r>
  <r>
    <d v="2020-05-21T00:00:00"/>
    <x v="2"/>
    <x v="40"/>
    <x v="40"/>
    <n v="31"/>
    <x v="40"/>
    <x v="40"/>
    <x v="40"/>
    <x v="2"/>
  </r>
  <r>
    <d v="2020-05-20T00:00:00"/>
    <x v="2"/>
    <x v="41"/>
    <x v="41"/>
    <n v="31"/>
    <x v="41"/>
    <x v="41"/>
    <x v="41"/>
    <x v="2"/>
  </r>
  <r>
    <d v="2020-05-05T00:00:00"/>
    <x v="2"/>
    <x v="42"/>
    <x v="42"/>
    <n v="31"/>
    <x v="42"/>
    <x v="42"/>
    <x v="42"/>
    <x v="3"/>
  </r>
  <r>
    <d v="2020-04-28T00:00:00"/>
    <x v="2"/>
    <x v="43"/>
    <x v="43"/>
    <n v="31"/>
    <x v="43"/>
    <x v="43"/>
    <x v="43"/>
    <x v="4"/>
  </r>
  <r>
    <d v="2020-05-13T00:00:00"/>
    <x v="2"/>
    <x v="44"/>
    <x v="44"/>
    <n v="31"/>
    <x v="44"/>
    <x v="44"/>
    <x v="44"/>
    <x v="1"/>
  </r>
  <r>
    <d v="2020-05-03T00:00:00"/>
    <x v="2"/>
    <x v="45"/>
    <x v="45"/>
    <n v="31"/>
    <x v="45"/>
    <x v="45"/>
    <x v="45"/>
    <x v="4"/>
  </r>
  <r>
    <d v="2020-05-06T00:00:00"/>
    <x v="2"/>
    <x v="46"/>
    <x v="46"/>
    <n v="31"/>
    <x v="46"/>
    <x v="46"/>
    <x v="46"/>
    <x v="3"/>
  </r>
  <r>
    <d v="2020-05-23T00:00:00"/>
    <x v="2"/>
    <x v="47"/>
    <x v="47"/>
    <n v="31"/>
    <x v="47"/>
    <x v="47"/>
    <x v="47"/>
    <x v="2"/>
  </r>
  <r>
    <d v="2020-05-25T00:00:00"/>
    <x v="2"/>
    <x v="48"/>
    <x v="48"/>
    <n v="31"/>
    <x v="48"/>
    <x v="48"/>
    <x v="48"/>
    <x v="0"/>
  </r>
  <r>
    <d v="2020-04-30T00:00:00"/>
    <x v="2"/>
    <x v="49"/>
    <x v="49"/>
    <n v="31"/>
    <x v="49"/>
    <x v="49"/>
    <x v="49"/>
    <x v="4"/>
  </r>
  <r>
    <d v="2020-05-10T00:00:00"/>
    <x v="2"/>
    <x v="50"/>
    <x v="50"/>
    <n v="31"/>
    <x v="50"/>
    <x v="50"/>
    <x v="50"/>
    <x v="3"/>
  </r>
  <r>
    <d v="2020-05-08T00:00:00"/>
    <x v="2"/>
    <x v="51"/>
    <x v="51"/>
    <n v="31"/>
    <x v="51"/>
    <x v="51"/>
    <x v="51"/>
    <x v="3"/>
  </r>
  <r>
    <d v="2020-05-07T00:00:00"/>
    <x v="2"/>
    <x v="52"/>
    <x v="52"/>
    <n v="31"/>
    <x v="52"/>
    <x v="52"/>
    <x v="52"/>
    <x v="3"/>
  </r>
  <r>
    <d v="2020-05-24T00:00:00"/>
    <x v="2"/>
    <x v="53"/>
    <x v="53"/>
    <n v="31"/>
    <x v="53"/>
    <x v="53"/>
    <x v="53"/>
    <x v="2"/>
  </r>
  <r>
    <d v="2020-05-16T00:00:00"/>
    <x v="3"/>
    <x v="54"/>
    <x v="54"/>
    <n v="10"/>
    <x v="54"/>
    <x v="54"/>
    <x v="54"/>
    <x v="1"/>
  </r>
  <r>
    <d v="2020-05-19T00:00:00"/>
    <x v="3"/>
    <x v="55"/>
    <x v="55"/>
    <n v="10"/>
    <x v="55"/>
    <x v="55"/>
    <x v="55"/>
    <x v="2"/>
  </r>
  <r>
    <d v="2020-05-17T00:00:00"/>
    <x v="3"/>
    <x v="56"/>
    <x v="56"/>
    <n v="10"/>
    <x v="56"/>
    <x v="56"/>
    <x v="56"/>
    <x v="1"/>
  </r>
  <r>
    <d v="2020-05-09T00:00:00"/>
    <x v="3"/>
    <x v="57"/>
    <x v="57"/>
    <n v="10"/>
    <x v="57"/>
    <x v="57"/>
    <x v="57"/>
    <x v="3"/>
  </r>
  <r>
    <d v="2020-05-04T00:00:00"/>
    <x v="3"/>
    <x v="58"/>
    <x v="58"/>
    <n v="10"/>
    <x v="58"/>
    <x v="58"/>
    <x v="58"/>
    <x v="3"/>
  </r>
  <r>
    <d v="2020-04-29T00:00:00"/>
    <x v="3"/>
    <x v="59"/>
    <x v="59"/>
    <n v="10"/>
    <x v="59"/>
    <x v="59"/>
    <x v="59"/>
    <x v="4"/>
  </r>
  <r>
    <d v="2020-05-02T00:00:00"/>
    <x v="3"/>
    <x v="60"/>
    <x v="60"/>
    <n v="10"/>
    <x v="60"/>
    <x v="60"/>
    <x v="60"/>
    <x v="4"/>
  </r>
  <r>
    <d v="2020-05-26T00:00:00"/>
    <x v="3"/>
    <x v="61"/>
    <x v="61"/>
    <n v="10"/>
    <x v="61"/>
    <x v="61"/>
    <x v="61"/>
    <x v="0"/>
  </r>
  <r>
    <d v="2020-05-01T00:00:00"/>
    <x v="3"/>
    <x v="62"/>
    <x v="62"/>
    <n v="10"/>
    <x v="62"/>
    <x v="62"/>
    <x v="62"/>
    <x v="4"/>
  </r>
  <r>
    <d v="2020-05-12T00:00:00"/>
    <x v="3"/>
    <x v="63"/>
    <x v="63"/>
    <n v="10"/>
    <x v="63"/>
    <x v="63"/>
    <x v="63"/>
    <x v="1"/>
  </r>
  <r>
    <d v="2020-05-21T00:00:00"/>
    <x v="3"/>
    <x v="64"/>
    <x v="64"/>
    <n v="10"/>
    <x v="64"/>
    <x v="64"/>
    <x v="64"/>
    <x v="2"/>
  </r>
  <r>
    <d v="2020-05-20T00:00:00"/>
    <x v="3"/>
    <x v="65"/>
    <x v="65"/>
    <n v="10"/>
    <x v="65"/>
    <x v="65"/>
    <x v="65"/>
    <x v="2"/>
  </r>
  <r>
    <d v="2020-05-05T00:00:00"/>
    <x v="3"/>
    <x v="66"/>
    <x v="66"/>
    <n v="10"/>
    <x v="66"/>
    <x v="66"/>
    <x v="66"/>
    <x v="3"/>
  </r>
  <r>
    <d v="2020-04-28T00:00:00"/>
    <x v="3"/>
    <x v="67"/>
    <x v="67"/>
    <n v="10"/>
    <x v="67"/>
    <x v="67"/>
    <x v="67"/>
    <x v="4"/>
  </r>
  <r>
    <d v="2020-05-13T00:00:00"/>
    <x v="3"/>
    <x v="68"/>
    <x v="68"/>
    <n v="10"/>
    <x v="68"/>
    <x v="68"/>
    <x v="68"/>
    <x v="1"/>
  </r>
  <r>
    <d v="2020-05-31T00:00:00"/>
    <x v="2"/>
    <x v="69"/>
    <x v="69"/>
    <n v="31"/>
    <x v="69"/>
    <x v="69"/>
    <x v="69"/>
    <x v="0"/>
  </r>
  <r>
    <d v="2020-05-03T00:00:00"/>
    <x v="3"/>
    <x v="70"/>
    <x v="70"/>
    <n v="10"/>
    <x v="70"/>
    <x v="70"/>
    <x v="70"/>
    <x v="4"/>
  </r>
  <r>
    <d v="2020-05-30T00:00:00"/>
    <x v="2"/>
    <x v="71"/>
    <x v="71"/>
    <n v="31"/>
    <x v="71"/>
    <x v="71"/>
    <x v="71"/>
    <x v="0"/>
  </r>
  <r>
    <d v="2020-05-06T00:00:00"/>
    <x v="3"/>
    <x v="72"/>
    <x v="72"/>
    <n v="10"/>
    <x v="72"/>
    <x v="2"/>
    <x v="72"/>
    <x v="3"/>
  </r>
  <r>
    <d v="2020-05-23T00:00:00"/>
    <x v="3"/>
    <x v="73"/>
    <x v="73"/>
    <n v="10"/>
    <x v="73"/>
    <x v="72"/>
    <x v="73"/>
    <x v="2"/>
  </r>
  <r>
    <d v="2020-05-28T00:00:00"/>
    <x v="2"/>
    <x v="74"/>
    <x v="74"/>
    <n v="31"/>
    <x v="74"/>
    <x v="73"/>
    <x v="74"/>
    <x v="0"/>
  </r>
  <r>
    <d v="2020-05-25T00:00:00"/>
    <x v="3"/>
    <x v="75"/>
    <x v="75"/>
    <n v="10"/>
    <x v="75"/>
    <x v="74"/>
    <x v="75"/>
    <x v="0"/>
  </r>
  <r>
    <d v="2020-04-30T00:00:00"/>
    <x v="3"/>
    <x v="76"/>
    <x v="76"/>
    <n v="10"/>
    <x v="76"/>
    <x v="75"/>
    <x v="76"/>
    <x v="4"/>
  </r>
  <r>
    <d v="2020-05-10T00:00:00"/>
    <x v="3"/>
    <x v="77"/>
    <x v="77"/>
    <n v="10"/>
    <x v="77"/>
    <x v="76"/>
    <x v="77"/>
    <x v="3"/>
  </r>
  <r>
    <d v="2020-05-08T00:00:00"/>
    <x v="3"/>
    <x v="78"/>
    <x v="78"/>
    <n v="10"/>
    <x v="78"/>
    <x v="77"/>
    <x v="78"/>
    <x v="3"/>
  </r>
  <r>
    <d v="2020-05-07T00:00:00"/>
    <x v="3"/>
    <x v="79"/>
    <x v="79"/>
    <n v="10"/>
    <x v="79"/>
    <x v="78"/>
    <x v="79"/>
    <x v="3"/>
  </r>
  <r>
    <d v="2020-05-24T00:00:00"/>
    <x v="3"/>
    <x v="80"/>
    <x v="80"/>
    <n v="10"/>
    <x v="80"/>
    <x v="79"/>
    <x v="80"/>
    <x v="2"/>
  </r>
  <r>
    <d v="2020-05-31T00:00:00"/>
    <x v="3"/>
    <x v="81"/>
    <x v="81"/>
    <n v="10"/>
    <x v="81"/>
    <x v="80"/>
    <x v="81"/>
    <x v="0"/>
  </r>
  <r>
    <d v="2020-05-30T00:00:00"/>
    <x v="3"/>
    <x v="82"/>
    <x v="82"/>
    <n v="10"/>
    <x v="82"/>
    <x v="81"/>
    <x v="82"/>
    <x v="0"/>
  </r>
  <r>
    <d v="2020-05-28T00:00:00"/>
    <x v="3"/>
    <x v="83"/>
    <x v="83"/>
    <n v="10"/>
    <x v="83"/>
    <x v="82"/>
    <x v="83"/>
    <x v="0"/>
  </r>
  <r>
    <d v="2020-05-16T00:00:00"/>
    <x v="4"/>
    <x v="84"/>
    <x v="84"/>
    <n v="19"/>
    <x v="84"/>
    <x v="83"/>
    <x v="84"/>
    <x v="1"/>
  </r>
  <r>
    <d v="2020-05-19T00:00:00"/>
    <x v="4"/>
    <x v="85"/>
    <x v="85"/>
    <n v="19"/>
    <x v="26"/>
    <x v="84"/>
    <x v="85"/>
    <x v="2"/>
  </r>
  <r>
    <d v="2020-05-17T00:00:00"/>
    <x v="4"/>
    <x v="86"/>
    <x v="86"/>
    <n v="19"/>
    <x v="85"/>
    <x v="85"/>
    <x v="86"/>
    <x v="1"/>
  </r>
  <r>
    <d v="2020-05-09T00:00:00"/>
    <x v="4"/>
    <x v="87"/>
    <x v="87"/>
    <n v="19"/>
    <x v="86"/>
    <x v="86"/>
    <x v="87"/>
    <x v="3"/>
  </r>
  <r>
    <d v="2020-05-04T00:00:00"/>
    <x v="4"/>
    <x v="88"/>
    <x v="88"/>
    <n v="19"/>
    <x v="87"/>
    <x v="87"/>
    <x v="88"/>
    <x v="3"/>
  </r>
  <r>
    <d v="2020-04-29T00:00:00"/>
    <x v="4"/>
    <x v="89"/>
    <x v="89"/>
    <n v="18"/>
    <x v="88"/>
    <x v="88"/>
    <x v="89"/>
    <x v="4"/>
  </r>
  <r>
    <d v="2020-05-02T00:00:00"/>
    <x v="4"/>
    <x v="90"/>
    <x v="90"/>
    <n v="19"/>
    <x v="89"/>
    <x v="89"/>
    <x v="90"/>
    <x v="4"/>
  </r>
  <r>
    <d v="2020-05-26T00:00:00"/>
    <x v="4"/>
    <x v="91"/>
    <x v="91"/>
    <n v="20"/>
    <x v="90"/>
    <x v="90"/>
    <x v="91"/>
    <x v="0"/>
  </r>
  <r>
    <d v="2020-05-01T00:00:00"/>
    <x v="4"/>
    <x v="92"/>
    <x v="92"/>
    <n v="19"/>
    <x v="91"/>
    <x v="91"/>
    <x v="92"/>
    <x v="4"/>
  </r>
  <r>
    <d v="2020-05-12T00:00:00"/>
    <x v="4"/>
    <x v="93"/>
    <x v="93"/>
    <n v="19"/>
    <x v="92"/>
    <x v="92"/>
    <x v="93"/>
    <x v="1"/>
  </r>
  <r>
    <d v="2020-05-21T00:00:00"/>
    <x v="4"/>
    <x v="94"/>
    <x v="94"/>
    <n v="19"/>
    <x v="93"/>
    <x v="93"/>
    <x v="94"/>
    <x v="2"/>
  </r>
  <r>
    <d v="2020-05-20T00:00:00"/>
    <x v="4"/>
    <x v="95"/>
    <x v="95"/>
    <n v="19"/>
    <x v="94"/>
    <x v="94"/>
    <x v="95"/>
    <x v="2"/>
  </r>
  <r>
    <d v="2020-05-05T00:00:00"/>
    <x v="4"/>
    <x v="96"/>
    <x v="96"/>
    <n v="19"/>
    <x v="95"/>
    <x v="95"/>
    <x v="96"/>
    <x v="3"/>
  </r>
  <r>
    <d v="2020-04-28T00:00:00"/>
    <x v="4"/>
    <x v="97"/>
    <x v="97"/>
    <n v="17"/>
    <x v="96"/>
    <x v="96"/>
    <x v="97"/>
    <x v="4"/>
  </r>
  <r>
    <d v="2020-05-13T00:00:00"/>
    <x v="4"/>
    <x v="98"/>
    <x v="98"/>
    <n v="19"/>
    <x v="97"/>
    <x v="97"/>
    <x v="98"/>
    <x v="1"/>
  </r>
  <r>
    <d v="2020-05-03T00:00:00"/>
    <x v="4"/>
    <x v="99"/>
    <x v="99"/>
    <n v="19"/>
    <x v="98"/>
    <x v="98"/>
    <x v="99"/>
    <x v="4"/>
  </r>
  <r>
    <d v="2020-05-06T00:00:00"/>
    <x v="4"/>
    <x v="100"/>
    <x v="100"/>
    <n v="19"/>
    <x v="99"/>
    <x v="99"/>
    <x v="100"/>
    <x v="3"/>
  </r>
  <r>
    <d v="2020-05-23T00:00:00"/>
    <x v="4"/>
    <x v="101"/>
    <x v="101"/>
    <n v="20"/>
    <x v="100"/>
    <x v="100"/>
    <x v="101"/>
    <x v="2"/>
  </r>
  <r>
    <d v="2020-05-25T00:00:00"/>
    <x v="4"/>
    <x v="102"/>
    <x v="102"/>
    <n v="20"/>
    <x v="101"/>
    <x v="101"/>
    <x v="102"/>
    <x v="0"/>
  </r>
  <r>
    <d v="2020-04-30T00:00:00"/>
    <x v="4"/>
    <x v="103"/>
    <x v="103"/>
    <n v="19"/>
    <x v="99"/>
    <x v="102"/>
    <x v="103"/>
    <x v="4"/>
  </r>
  <r>
    <d v="2020-05-10T00:00:00"/>
    <x v="4"/>
    <x v="104"/>
    <x v="104"/>
    <n v="19"/>
    <x v="102"/>
    <x v="103"/>
    <x v="104"/>
    <x v="3"/>
  </r>
  <r>
    <d v="2020-05-08T00:00:00"/>
    <x v="4"/>
    <x v="105"/>
    <x v="105"/>
    <n v="19"/>
    <x v="103"/>
    <x v="104"/>
    <x v="105"/>
    <x v="3"/>
  </r>
  <r>
    <d v="2020-05-07T00:00:00"/>
    <x v="4"/>
    <x v="106"/>
    <x v="106"/>
    <n v="19"/>
    <x v="104"/>
    <x v="105"/>
    <x v="106"/>
    <x v="3"/>
  </r>
  <r>
    <d v="2020-05-24T00:00:00"/>
    <x v="4"/>
    <x v="107"/>
    <x v="107"/>
    <n v="20"/>
    <x v="105"/>
    <x v="106"/>
    <x v="107"/>
    <x v="2"/>
  </r>
  <r>
    <d v="2020-05-31T00:00:00"/>
    <x v="4"/>
    <x v="108"/>
    <x v="108"/>
    <n v="20"/>
    <x v="106"/>
    <x v="107"/>
    <x v="108"/>
    <x v="0"/>
  </r>
  <r>
    <d v="2020-05-30T00:00:00"/>
    <x v="4"/>
    <x v="109"/>
    <x v="109"/>
    <n v="20"/>
    <x v="107"/>
    <x v="108"/>
    <x v="109"/>
    <x v="0"/>
  </r>
  <r>
    <d v="2020-05-28T00:00:00"/>
    <x v="4"/>
    <x v="110"/>
    <x v="110"/>
    <n v="20"/>
    <x v="108"/>
    <x v="109"/>
    <x v="110"/>
    <x v="0"/>
  </r>
  <r>
    <d v="2020-05-16T00:00:00"/>
    <x v="5"/>
    <x v="111"/>
    <x v="111"/>
    <n v="129"/>
    <x v="109"/>
    <x v="110"/>
    <x v="111"/>
    <x v="1"/>
  </r>
  <r>
    <d v="2020-05-19T00:00:00"/>
    <x v="5"/>
    <x v="112"/>
    <x v="112"/>
    <n v="129"/>
    <x v="110"/>
    <x v="111"/>
    <x v="112"/>
    <x v="2"/>
  </r>
  <r>
    <d v="2020-05-17T00:00:00"/>
    <x v="5"/>
    <x v="113"/>
    <x v="113"/>
    <n v="129"/>
    <x v="111"/>
    <x v="112"/>
    <x v="113"/>
    <x v="1"/>
  </r>
  <r>
    <d v="2020-05-09T00:00:00"/>
    <x v="5"/>
    <x v="114"/>
    <x v="114"/>
    <n v="129"/>
    <x v="112"/>
    <x v="113"/>
    <x v="114"/>
    <x v="3"/>
  </r>
  <r>
    <d v="2020-05-04T00:00:00"/>
    <x v="5"/>
    <x v="115"/>
    <x v="115"/>
    <n v="129"/>
    <x v="113"/>
    <x v="114"/>
    <x v="115"/>
    <x v="3"/>
  </r>
  <r>
    <d v="2020-04-29T00:00:00"/>
    <x v="5"/>
    <x v="116"/>
    <x v="116"/>
    <n v="128"/>
    <x v="114"/>
    <x v="115"/>
    <x v="116"/>
    <x v="4"/>
  </r>
  <r>
    <d v="2020-05-02T00:00:00"/>
    <x v="5"/>
    <x v="117"/>
    <x v="117"/>
    <n v="129"/>
    <x v="115"/>
    <x v="116"/>
    <x v="117"/>
    <x v="4"/>
  </r>
  <r>
    <d v="2020-05-26T00:00:00"/>
    <x v="5"/>
    <x v="118"/>
    <x v="118"/>
    <n v="129"/>
    <x v="116"/>
    <x v="117"/>
    <x v="118"/>
    <x v="0"/>
  </r>
  <r>
    <d v="2020-05-01T00:00:00"/>
    <x v="5"/>
    <x v="119"/>
    <x v="119"/>
    <n v="129"/>
    <x v="117"/>
    <x v="118"/>
    <x v="119"/>
    <x v="4"/>
  </r>
  <r>
    <d v="2020-05-12T00:00:00"/>
    <x v="5"/>
    <x v="120"/>
    <x v="120"/>
    <n v="129"/>
    <x v="118"/>
    <x v="119"/>
    <x v="120"/>
    <x v="1"/>
  </r>
  <r>
    <d v="2020-05-21T00:00:00"/>
    <x v="5"/>
    <x v="121"/>
    <x v="121"/>
    <n v="129"/>
    <x v="119"/>
    <x v="120"/>
    <x v="121"/>
    <x v="2"/>
  </r>
  <r>
    <d v="2020-05-20T00:00:00"/>
    <x v="5"/>
    <x v="122"/>
    <x v="122"/>
    <n v="129"/>
    <x v="120"/>
    <x v="121"/>
    <x v="122"/>
    <x v="2"/>
  </r>
  <r>
    <d v="2020-05-05T00:00:00"/>
    <x v="5"/>
    <x v="123"/>
    <x v="123"/>
    <n v="129"/>
    <x v="121"/>
    <x v="122"/>
    <x v="123"/>
    <x v="3"/>
  </r>
  <r>
    <d v="2020-04-28T00:00:00"/>
    <x v="5"/>
    <x v="124"/>
    <x v="124"/>
    <n v="128"/>
    <x v="122"/>
    <x v="123"/>
    <x v="124"/>
    <x v="4"/>
  </r>
  <r>
    <d v="2020-05-13T00:00:00"/>
    <x v="5"/>
    <x v="125"/>
    <x v="125"/>
    <n v="129"/>
    <x v="123"/>
    <x v="124"/>
    <x v="125"/>
    <x v="1"/>
  </r>
  <r>
    <d v="2020-05-03T00:00:00"/>
    <x v="5"/>
    <x v="126"/>
    <x v="126"/>
    <n v="129"/>
    <x v="124"/>
    <x v="125"/>
    <x v="126"/>
    <x v="4"/>
  </r>
  <r>
    <d v="2020-05-06T00:00:00"/>
    <x v="5"/>
    <x v="127"/>
    <x v="127"/>
    <n v="129"/>
    <x v="125"/>
    <x v="126"/>
    <x v="127"/>
    <x v="3"/>
  </r>
  <r>
    <d v="2020-05-23T00:00:00"/>
    <x v="5"/>
    <x v="128"/>
    <x v="128"/>
    <n v="129"/>
    <x v="126"/>
    <x v="127"/>
    <x v="128"/>
    <x v="2"/>
  </r>
  <r>
    <d v="2020-05-25T00:00:00"/>
    <x v="5"/>
    <x v="129"/>
    <x v="129"/>
    <n v="129"/>
    <x v="127"/>
    <x v="128"/>
    <x v="129"/>
    <x v="0"/>
  </r>
  <r>
    <d v="2020-04-30T00:00:00"/>
    <x v="5"/>
    <x v="130"/>
    <x v="130"/>
    <n v="129"/>
    <x v="128"/>
    <x v="110"/>
    <x v="130"/>
    <x v="4"/>
  </r>
  <r>
    <d v="2020-05-10T00:00:00"/>
    <x v="5"/>
    <x v="131"/>
    <x v="131"/>
    <n v="129"/>
    <x v="129"/>
    <x v="129"/>
    <x v="131"/>
    <x v="3"/>
  </r>
  <r>
    <d v="2020-05-08T00:00:00"/>
    <x v="5"/>
    <x v="132"/>
    <x v="132"/>
    <n v="129"/>
    <x v="130"/>
    <x v="130"/>
    <x v="132"/>
    <x v="3"/>
  </r>
  <r>
    <d v="2020-05-07T00:00:00"/>
    <x v="5"/>
    <x v="133"/>
    <x v="133"/>
    <n v="129"/>
    <x v="131"/>
    <x v="131"/>
    <x v="133"/>
    <x v="3"/>
  </r>
  <r>
    <d v="2020-05-24T00:00:00"/>
    <x v="5"/>
    <x v="134"/>
    <x v="134"/>
    <n v="129"/>
    <x v="132"/>
    <x v="132"/>
    <x v="134"/>
    <x v="2"/>
  </r>
  <r>
    <d v="2020-05-16T00:00:00"/>
    <x v="6"/>
    <x v="135"/>
    <x v="135"/>
    <n v="125"/>
    <x v="133"/>
    <x v="133"/>
    <x v="135"/>
    <x v="1"/>
  </r>
  <r>
    <d v="2020-05-19T00:00:00"/>
    <x v="6"/>
    <x v="136"/>
    <x v="136"/>
    <n v="125"/>
    <x v="134"/>
    <x v="134"/>
    <x v="136"/>
    <x v="2"/>
  </r>
  <r>
    <d v="2020-05-17T00:00:00"/>
    <x v="6"/>
    <x v="137"/>
    <x v="137"/>
    <n v="125"/>
    <x v="135"/>
    <x v="135"/>
    <x v="137"/>
    <x v="1"/>
  </r>
  <r>
    <d v="2020-05-09T00:00:00"/>
    <x v="6"/>
    <x v="138"/>
    <x v="138"/>
    <n v="125"/>
    <x v="136"/>
    <x v="136"/>
    <x v="138"/>
    <x v="3"/>
  </r>
  <r>
    <d v="2020-05-04T00:00:00"/>
    <x v="6"/>
    <x v="139"/>
    <x v="139"/>
    <n v="125"/>
    <x v="137"/>
    <x v="137"/>
    <x v="139"/>
    <x v="3"/>
  </r>
  <r>
    <d v="2020-04-29T00:00:00"/>
    <x v="6"/>
    <x v="140"/>
    <x v="140"/>
    <n v="125"/>
    <x v="138"/>
    <x v="138"/>
    <x v="140"/>
    <x v="4"/>
  </r>
  <r>
    <d v="2020-05-02T00:00:00"/>
    <x v="6"/>
    <x v="141"/>
    <x v="141"/>
    <n v="125"/>
    <x v="139"/>
    <x v="139"/>
    <x v="141"/>
    <x v="4"/>
  </r>
  <r>
    <d v="2020-05-26T00:00:00"/>
    <x v="6"/>
    <x v="142"/>
    <x v="142"/>
    <n v="124"/>
    <x v="140"/>
    <x v="140"/>
    <x v="142"/>
    <x v="0"/>
  </r>
  <r>
    <d v="2020-05-01T00:00:00"/>
    <x v="6"/>
    <x v="143"/>
    <x v="143"/>
    <n v="125"/>
    <x v="141"/>
    <x v="141"/>
    <x v="143"/>
    <x v="4"/>
  </r>
  <r>
    <d v="2020-05-12T00:00:00"/>
    <x v="6"/>
    <x v="144"/>
    <x v="144"/>
    <n v="125"/>
    <x v="142"/>
    <x v="142"/>
    <x v="144"/>
    <x v="1"/>
  </r>
  <r>
    <d v="2020-05-21T00:00:00"/>
    <x v="6"/>
    <x v="145"/>
    <x v="145"/>
    <n v="125"/>
    <x v="143"/>
    <x v="143"/>
    <x v="145"/>
    <x v="2"/>
  </r>
  <r>
    <d v="2020-05-20T00:00:00"/>
    <x v="6"/>
    <x v="146"/>
    <x v="146"/>
    <n v="125"/>
    <x v="144"/>
    <x v="144"/>
    <x v="146"/>
    <x v="2"/>
  </r>
  <r>
    <d v="2020-05-05T00:00:00"/>
    <x v="6"/>
    <x v="147"/>
    <x v="147"/>
    <n v="125"/>
    <x v="145"/>
    <x v="145"/>
    <x v="147"/>
    <x v="3"/>
  </r>
  <r>
    <d v="2020-04-28T00:00:00"/>
    <x v="6"/>
    <x v="148"/>
    <x v="148"/>
    <n v="125"/>
    <x v="146"/>
    <x v="146"/>
    <x v="148"/>
    <x v="4"/>
  </r>
  <r>
    <d v="2020-05-13T00:00:00"/>
    <x v="6"/>
    <x v="149"/>
    <x v="149"/>
    <n v="125"/>
    <x v="147"/>
    <x v="147"/>
    <x v="149"/>
    <x v="1"/>
  </r>
  <r>
    <d v="2020-05-31T00:00:00"/>
    <x v="5"/>
    <x v="150"/>
    <x v="150"/>
    <n v="129"/>
    <x v="148"/>
    <x v="148"/>
    <x v="150"/>
    <x v="0"/>
  </r>
  <r>
    <d v="2020-05-03T00:00:00"/>
    <x v="6"/>
    <x v="151"/>
    <x v="151"/>
    <n v="125"/>
    <x v="149"/>
    <x v="149"/>
    <x v="151"/>
    <x v="4"/>
  </r>
  <r>
    <d v="2020-05-30T00:00:00"/>
    <x v="5"/>
    <x v="152"/>
    <x v="152"/>
    <n v="129"/>
    <x v="150"/>
    <x v="150"/>
    <x v="152"/>
    <x v="0"/>
  </r>
  <r>
    <d v="2020-05-06T00:00:00"/>
    <x v="6"/>
    <x v="153"/>
    <x v="153"/>
    <n v="125"/>
    <x v="151"/>
    <x v="151"/>
    <x v="153"/>
    <x v="3"/>
  </r>
  <r>
    <d v="2020-05-23T00:00:00"/>
    <x v="6"/>
    <x v="154"/>
    <x v="154"/>
    <n v="125"/>
    <x v="152"/>
    <x v="152"/>
    <x v="154"/>
    <x v="2"/>
  </r>
  <r>
    <d v="2020-05-28T00:00:00"/>
    <x v="5"/>
    <x v="155"/>
    <x v="155"/>
    <n v="129"/>
    <x v="153"/>
    <x v="153"/>
    <x v="155"/>
    <x v="0"/>
  </r>
  <r>
    <d v="2020-05-25T00:00:00"/>
    <x v="6"/>
    <x v="156"/>
    <x v="156"/>
    <n v="124"/>
    <x v="154"/>
    <x v="154"/>
    <x v="156"/>
    <x v="0"/>
  </r>
  <r>
    <d v="2020-04-30T00:00:00"/>
    <x v="6"/>
    <x v="157"/>
    <x v="157"/>
    <n v="125"/>
    <x v="155"/>
    <x v="155"/>
    <x v="157"/>
    <x v="4"/>
  </r>
  <r>
    <d v="2020-05-10T00:00:00"/>
    <x v="6"/>
    <x v="158"/>
    <x v="158"/>
    <n v="125"/>
    <x v="156"/>
    <x v="156"/>
    <x v="158"/>
    <x v="3"/>
  </r>
  <r>
    <d v="2020-05-08T00:00:00"/>
    <x v="6"/>
    <x v="159"/>
    <x v="159"/>
    <n v="125"/>
    <x v="157"/>
    <x v="157"/>
    <x v="159"/>
    <x v="3"/>
  </r>
  <r>
    <d v="2020-05-07T00:00:00"/>
    <x v="6"/>
    <x v="160"/>
    <x v="160"/>
    <n v="125"/>
    <x v="158"/>
    <x v="158"/>
    <x v="160"/>
    <x v="3"/>
  </r>
  <r>
    <d v="2020-05-24T00:00:00"/>
    <x v="6"/>
    <x v="161"/>
    <x v="161"/>
    <n v="125"/>
    <x v="159"/>
    <x v="159"/>
    <x v="161"/>
    <x v="2"/>
  </r>
  <r>
    <d v="2020-05-16T00:00:00"/>
    <x v="7"/>
    <x v="162"/>
    <x v="162"/>
    <n v="36"/>
    <x v="160"/>
    <x v="160"/>
    <x v="162"/>
    <x v="1"/>
  </r>
  <r>
    <d v="2020-05-19T00:00:00"/>
    <x v="7"/>
    <x v="163"/>
    <x v="163"/>
    <n v="36"/>
    <x v="161"/>
    <x v="161"/>
    <x v="163"/>
    <x v="2"/>
  </r>
  <r>
    <d v="2020-05-17T00:00:00"/>
    <x v="7"/>
    <x v="164"/>
    <x v="164"/>
    <n v="36"/>
    <x v="162"/>
    <x v="162"/>
    <x v="164"/>
    <x v="1"/>
  </r>
  <r>
    <d v="2020-05-09T00:00:00"/>
    <x v="7"/>
    <x v="165"/>
    <x v="165"/>
    <n v="36"/>
    <x v="163"/>
    <x v="163"/>
    <x v="165"/>
    <x v="3"/>
  </r>
  <r>
    <d v="2020-05-04T00:00:00"/>
    <x v="7"/>
    <x v="166"/>
    <x v="166"/>
    <n v="36"/>
    <x v="164"/>
    <x v="164"/>
    <x v="166"/>
    <x v="3"/>
  </r>
  <r>
    <d v="2020-04-29T00:00:00"/>
    <x v="7"/>
    <x v="167"/>
    <x v="167"/>
    <n v="36"/>
    <x v="165"/>
    <x v="165"/>
    <x v="167"/>
    <x v="4"/>
  </r>
  <r>
    <d v="2020-05-02T00:00:00"/>
    <x v="7"/>
    <x v="168"/>
    <x v="168"/>
    <n v="36"/>
    <x v="166"/>
    <x v="166"/>
    <x v="168"/>
    <x v="4"/>
  </r>
  <r>
    <d v="2020-05-26T00:00:00"/>
    <x v="7"/>
    <x v="169"/>
    <x v="169"/>
    <n v="36"/>
    <x v="167"/>
    <x v="167"/>
    <x v="169"/>
    <x v="0"/>
  </r>
  <r>
    <d v="2020-05-01T00:00:00"/>
    <x v="7"/>
    <x v="170"/>
    <x v="170"/>
    <n v="36"/>
    <x v="168"/>
    <x v="168"/>
    <x v="170"/>
    <x v="4"/>
  </r>
  <r>
    <d v="2020-05-12T00:00:00"/>
    <x v="7"/>
    <x v="171"/>
    <x v="171"/>
    <n v="36"/>
    <x v="169"/>
    <x v="169"/>
    <x v="171"/>
    <x v="1"/>
  </r>
  <r>
    <d v="2020-05-21T00:00:00"/>
    <x v="7"/>
    <x v="172"/>
    <x v="172"/>
    <n v="36"/>
    <x v="170"/>
    <x v="170"/>
    <x v="172"/>
    <x v="2"/>
  </r>
  <r>
    <d v="2020-05-20T00:00:00"/>
    <x v="7"/>
    <x v="173"/>
    <x v="173"/>
    <n v="36"/>
    <x v="171"/>
    <x v="171"/>
    <x v="173"/>
    <x v="2"/>
  </r>
  <r>
    <d v="2020-05-05T00:00:00"/>
    <x v="7"/>
    <x v="174"/>
    <x v="174"/>
    <n v="36"/>
    <x v="172"/>
    <x v="172"/>
    <x v="174"/>
    <x v="3"/>
  </r>
  <r>
    <d v="2020-04-28T00:00:00"/>
    <x v="7"/>
    <x v="175"/>
    <x v="175"/>
    <n v="36"/>
    <x v="173"/>
    <x v="173"/>
    <x v="175"/>
    <x v="4"/>
  </r>
  <r>
    <d v="2020-05-13T00:00:00"/>
    <x v="7"/>
    <x v="176"/>
    <x v="176"/>
    <n v="36"/>
    <x v="174"/>
    <x v="174"/>
    <x v="176"/>
    <x v="1"/>
  </r>
  <r>
    <d v="2020-05-31T00:00:00"/>
    <x v="6"/>
    <x v="177"/>
    <x v="177"/>
    <n v="124"/>
    <x v="175"/>
    <x v="175"/>
    <x v="177"/>
    <x v="0"/>
  </r>
  <r>
    <d v="2020-05-03T00:00:00"/>
    <x v="7"/>
    <x v="178"/>
    <x v="178"/>
    <n v="36"/>
    <x v="176"/>
    <x v="176"/>
    <x v="178"/>
    <x v="4"/>
  </r>
  <r>
    <d v="2020-05-30T00:00:00"/>
    <x v="6"/>
    <x v="179"/>
    <x v="179"/>
    <n v="124"/>
    <x v="177"/>
    <x v="177"/>
    <x v="179"/>
    <x v="0"/>
  </r>
  <r>
    <d v="2020-05-06T00:00:00"/>
    <x v="7"/>
    <x v="180"/>
    <x v="180"/>
    <n v="36"/>
    <x v="178"/>
    <x v="178"/>
    <x v="180"/>
    <x v="3"/>
  </r>
  <r>
    <d v="2020-05-23T00:00:00"/>
    <x v="7"/>
    <x v="181"/>
    <x v="181"/>
    <n v="36"/>
    <x v="179"/>
    <x v="179"/>
    <x v="181"/>
    <x v="2"/>
  </r>
  <r>
    <d v="2020-05-28T00:00:00"/>
    <x v="6"/>
    <x v="182"/>
    <x v="182"/>
    <n v="124"/>
    <x v="180"/>
    <x v="180"/>
    <x v="182"/>
    <x v="0"/>
  </r>
  <r>
    <d v="2020-05-25T00:00:00"/>
    <x v="7"/>
    <x v="183"/>
    <x v="183"/>
    <n v="36"/>
    <x v="181"/>
    <x v="181"/>
    <x v="183"/>
    <x v="0"/>
  </r>
  <r>
    <d v="2020-04-30T00:00:00"/>
    <x v="7"/>
    <x v="184"/>
    <x v="184"/>
    <n v="36"/>
    <x v="182"/>
    <x v="182"/>
    <x v="184"/>
    <x v="4"/>
  </r>
  <r>
    <d v="2020-05-10T00:00:00"/>
    <x v="7"/>
    <x v="185"/>
    <x v="185"/>
    <n v="36"/>
    <x v="183"/>
    <x v="183"/>
    <x v="185"/>
    <x v="3"/>
  </r>
  <r>
    <d v="2020-05-08T00:00:00"/>
    <x v="7"/>
    <x v="186"/>
    <x v="186"/>
    <n v="36"/>
    <x v="184"/>
    <x v="184"/>
    <x v="186"/>
    <x v="3"/>
  </r>
  <r>
    <d v="2020-05-07T00:00:00"/>
    <x v="7"/>
    <x v="187"/>
    <x v="187"/>
    <n v="36"/>
    <x v="185"/>
    <x v="185"/>
    <x v="187"/>
    <x v="3"/>
  </r>
  <r>
    <d v="2020-05-24T00:00:00"/>
    <x v="7"/>
    <x v="188"/>
    <x v="188"/>
    <n v="36"/>
    <x v="186"/>
    <x v="186"/>
    <x v="188"/>
    <x v="2"/>
  </r>
  <r>
    <d v="2020-05-16T00:00:00"/>
    <x v="8"/>
    <x v="189"/>
    <x v="189"/>
    <n v="21"/>
    <x v="187"/>
    <x v="187"/>
    <x v="189"/>
    <x v="1"/>
  </r>
  <r>
    <d v="2020-05-19T00:00:00"/>
    <x v="8"/>
    <x v="190"/>
    <x v="190"/>
    <n v="21"/>
    <x v="188"/>
    <x v="188"/>
    <x v="190"/>
    <x v="2"/>
  </r>
  <r>
    <d v="2020-05-17T00:00:00"/>
    <x v="8"/>
    <x v="191"/>
    <x v="191"/>
    <n v="21"/>
    <x v="189"/>
    <x v="189"/>
    <x v="191"/>
    <x v="1"/>
  </r>
  <r>
    <d v="2020-05-09T00:00:00"/>
    <x v="8"/>
    <x v="192"/>
    <x v="192"/>
    <n v="21"/>
    <x v="190"/>
    <x v="190"/>
    <x v="192"/>
    <x v="3"/>
  </r>
  <r>
    <d v="2020-05-04T00:00:00"/>
    <x v="8"/>
    <x v="193"/>
    <x v="193"/>
    <n v="20"/>
    <x v="191"/>
    <x v="191"/>
    <x v="193"/>
    <x v="3"/>
  </r>
  <r>
    <d v="2020-04-29T00:00:00"/>
    <x v="8"/>
    <x v="194"/>
    <x v="194"/>
    <n v="19"/>
    <x v="192"/>
    <x v="12"/>
    <x v="194"/>
    <x v="4"/>
  </r>
  <r>
    <d v="2020-05-02T00:00:00"/>
    <x v="8"/>
    <x v="195"/>
    <x v="195"/>
    <n v="20"/>
    <x v="193"/>
    <x v="192"/>
    <x v="195"/>
    <x v="4"/>
  </r>
  <r>
    <d v="2020-05-26T00:00:00"/>
    <x v="8"/>
    <x v="196"/>
    <x v="196"/>
    <n v="21"/>
    <x v="194"/>
    <x v="193"/>
    <x v="196"/>
    <x v="0"/>
  </r>
  <r>
    <d v="2020-05-01T00:00:00"/>
    <x v="8"/>
    <x v="197"/>
    <x v="197"/>
    <n v="20"/>
    <x v="195"/>
    <x v="194"/>
    <x v="197"/>
    <x v="4"/>
  </r>
  <r>
    <d v="2020-05-12T00:00:00"/>
    <x v="8"/>
    <x v="198"/>
    <x v="198"/>
    <n v="21"/>
    <x v="196"/>
    <x v="195"/>
    <x v="198"/>
    <x v="1"/>
  </r>
  <r>
    <d v="2020-05-21T00:00:00"/>
    <x v="8"/>
    <x v="199"/>
    <x v="199"/>
    <n v="21"/>
    <x v="197"/>
    <x v="196"/>
    <x v="199"/>
    <x v="2"/>
  </r>
  <r>
    <d v="2020-05-20T00:00:00"/>
    <x v="8"/>
    <x v="200"/>
    <x v="200"/>
    <n v="21"/>
    <x v="198"/>
    <x v="197"/>
    <x v="200"/>
    <x v="2"/>
  </r>
  <r>
    <d v="2020-05-05T00:00:00"/>
    <x v="8"/>
    <x v="201"/>
    <x v="201"/>
    <n v="20"/>
    <x v="199"/>
    <x v="198"/>
    <x v="201"/>
    <x v="3"/>
  </r>
  <r>
    <d v="2020-04-28T00:00:00"/>
    <x v="8"/>
    <x v="202"/>
    <x v="202"/>
    <n v="19"/>
    <x v="200"/>
    <x v="199"/>
    <x v="202"/>
    <x v="4"/>
  </r>
  <r>
    <d v="2020-05-13T00:00:00"/>
    <x v="8"/>
    <x v="203"/>
    <x v="203"/>
    <n v="21"/>
    <x v="201"/>
    <x v="200"/>
    <x v="203"/>
    <x v="1"/>
  </r>
  <r>
    <d v="2020-05-31T00:00:00"/>
    <x v="7"/>
    <x v="204"/>
    <x v="204"/>
    <n v="37"/>
    <x v="202"/>
    <x v="201"/>
    <x v="204"/>
    <x v="0"/>
  </r>
  <r>
    <d v="2020-05-03T00:00:00"/>
    <x v="8"/>
    <x v="205"/>
    <x v="205"/>
    <n v="20"/>
    <x v="203"/>
    <x v="202"/>
    <x v="205"/>
    <x v="4"/>
  </r>
  <r>
    <d v="2020-05-30T00:00:00"/>
    <x v="7"/>
    <x v="206"/>
    <x v="206"/>
    <n v="37"/>
    <x v="204"/>
    <x v="203"/>
    <x v="206"/>
    <x v="0"/>
  </r>
  <r>
    <d v="2020-05-06T00:00:00"/>
    <x v="8"/>
    <x v="207"/>
    <x v="207"/>
    <n v="20"/>
    <x v="205"/>
    <x v="204"/>
    <x v="207"/>
    <x v="3"/>
  </r>
  <r>
    <d v="2020-05-23T00:00:00"/>
    <x v="8"/>
    <x v="208"/>
    <x v="208"/>
    <n v="21"/>
    <x v="206"/>
    <x v="205"/>
    <x v="208"/>
    <x v="2"/>
  </r>
  <r>
    <d v="2020-05-28T00:00:00"/>
    <x v="7"/>
    <x v="209"/>
    <x v="209"/>
    <n v="37"/>
    <x v="207"/>
    <x v="206"/>
    <x v="209"/>
    <x v="0"/>
  </r>
  <r>
    <d v="2020-05-25T00:00:00"/>
    <x v="8"/>
    <x v="210"/>
    <x v="210"/>
    <n v="21"/>
    <x v="208"/>
    <x v="207"/>
    <x v="210"/>
    <x v="0"/>
  </r>
  <r>
    <d v="2020-04-30T00:00:00"/>
    <x v="8"/>
    <x v="211"/>
    <x v="211"/>
    <n v="20"/>
    <x v="209"/>
    <x v="208"/>
    <x v="211"/>
    <x v="4"/>
  </r>
  <r>
    <d v="2020-05-10T00:00:00"/>
    <x v="8"/>
    <x v="212"/>
    <x v="212"/>
    <n v="21"/>
    <x v="210"/>
    <x v="209"/>
    <x v="212"/>
    <x v="3"/>
  </r>
  <r>
    <d v="2020-05-08T00:00:00"/>
    <x v="8"/>
    <x v="213"/>
    <x v="213"/>
    <n v="21"/>
    <x v="211"/>
    <x v="210"/>
    <x v="213"/>
    <x v="3"/>
  </r>
  <r>
    <d v="2020-05-07T00:00:00"/>
    <x v="8"/>
    <x v="214"/>
    <x v="214"/>
    <n v="21"/>
    <x v="212"/>
    <x v="211"/>
    <x v="214"/>
    <x v="3"/>
  </r>
  <r>
    <d v="2020-05-24T00:00:00"/>
    <x v="8"/>
    <x v="215"/>
    <x v="215"/>
    <n v="21"/>
    <x v="213"/>
    <x v="212"/>
    <x v="215"/>
    <x v="2"/>
  </r>
  <r>
    <d v="2020-05-31T00:00:00"/>
    <x v="8"/>
    <x v="216"/>
    <x v="216"/>
    <n v="23"/>
    <x v="214"/>
    <x v="213"/>
    <x v="216"/>
    <x v="0"/>
  </r>
  <r>
    <d v="2020-05-30T00:00:00"/>
    <x v="8"/>
    <x v="217"/>
    <x v="217"/>
    <n v="22"/>
    <x v="215"/>
    <x v="214"/>
    <x v="217"/>
    <x v="0"/>
  </r>
  <r>
    <d v="2020-05-28T00:00:00"/>
    <x v="8"/>
    <x v="218"/>
    <x v="218"/>
    <n v="22"/>
    <x v="216"/>
    <x v="215"/>
    <x v="218"/>
    <x v="0"/>
  </r>
  <r>
    <d v="2020-05-16T00:00:00"/>
    <x v="9"/>
    <x v="219"/>
    <x v="219"/>
    <n v="15"/>
    <x v="217"/>
    <x v="216"/>
    <x v="219"/>
    <x v="1"/>
  </r>
  <r>
    <d v="2020-05-19T00:00:00"/>
    <x v="9"/>
    <x v="220"/>
    <x v="220"/>
    <n v="16"/>
    <x v="218"/>
    <x v="217"/>
    <x v="220"/>
    <x v="2"/>
  </r>
  <r>
    <d v="2020-05-17T00:00:00"/>
    <x v="9"/>
    <x v="221"/>
    <x v="221"/>
    <n v="15"/>
    <x v="219"/>
    <x v="218"/>
    <x v="221"/>
    <x v="1"/>
  </r>
  <r>
    <d v="2020-05-09T00:00:00"/>
    <x v="9"/>
    <x v="222"/>
    <x v="222"/>
    <n v="15"/>
    <x v="220"/>
    <x v="219"/>
    <x v="222"/>
    <x v="3"/>
  </r>
  <r>
    <d v="2020-05-04T00:00:00"/>
    <x v="9"/>
    <x v="223"/>
    <x v="223"/>
    <n v="15"/>
    <x v="221"/>
    <x v="220"/>
    <x v="223"/>
    <x v="3"/>
  </r>
  <r>
    <d v="2020-04-29T00:00:00"/>
    <x v="9"/>
    <x v="224"/>
    <x v="224"/>
    <n v="15"/>
    <x v="222"/>
    <x v="221"/>
    <x v="224"/>
    <x v="4"/>
  </r>
  <r>
    <d v="2020-05-02T00:00:00"/>
    <x v="9"/>
    <x v="225"/>
    <x v="225"/>
    <n v="15"/>
    <x v="223"/>
    <x v="222"/>
    <x v="225"/>
    <x v="4"/>
  </r>
  <r>
    <d v="2020-05-26T00:00:00"/>
    <x v="9"/>
    <x v="226"/>
    <x v="226"/>
    <n v="17"/>
    <x v="224"/>
    <x v="223"/>
    <x v="226"/>
    <x v="0"/>
  </r>
  <r>
    <d v="2020-05-01T00:00:00"/>
    <x v="9"/>
    <x v="227"/>
    <x v="227"/>
    <n v="15"/>
    <x v="225"/>
    <x v="224"/>
    <x v="227"/>
    <x v="4"/>
  </r>
  <r>
    <d v="2020-05-12T00:00:00"/>
    <x v="9"/>
    <x v="228"/>
    <x v="228"/>
    <n v="15"/>
    <x v="226"/>
    <x v="225"/>
    <x v="228"/>
    <x v="1"/>
  </r>
  <r>
    <d v="2020-05-21T00:00:00"/>
    <x v="9"/>
    <x v="229"/>
    <x v="229"/>
    <n v="17"/>
    <x v="227"/>
    <x v="226"/>
    <x v="229"/>
    <x v="2"/>
  </r>
  <r>
    <d v="2020-05-20T00:00:00"/>
    <x v="9"/>
    <x v="230"/>
    <x v="230"/>
    <n v="16"/>
    <x v="228"/>
    <x v="227"/>
    <x v="230"/>
    <x v="2"/>
  </r>
  <r>
    <d v="2020-05-05T00:00:00"/>
    <x v="9"/>
    <x v="231"/>
    <x v="231"/>
    <n v="15"/>
    <x v="229"/>
    <x v="228"/>
    <x v="231"/>
    <x v="3"/>
  </r>
  <r>
    <d v="2020-04-28T00:00:00"/>
    <x v="9"/>
    <x v="232"/>
    <x v="232"/>
    <n v="15"/>
    <x v="230"/>
    <x v="229"/>
    <x v="232"/>
    <x v="4"/>
  </r>
  <r>
    <d v="2020-05-13T00:00:00"/>
    <x v="9"/>
    <x v="233"/>
    <x v="233"/>
    <n v="15"/>
    <x v="231"/>
    <x v="230"/>
    <x v="233"/>
    <x v="1"/>
  </r>
  <r>
    <d v="2020-05-03T00:00:00"/>
    <x v="9"/>
    <x v="234"/>
    <x v="234"/>
    <n v="15"/>
    <x v="232"/>
    <x v="231"/>
    <x v="234"/>
    <x v="4"/>
  </r>
  <r>
    <d v="2020-05-06T00:00:00"/>
    <x v="9"/>
    <x v="235"/>
    <x v="235"/>
    <n v="15"/>
    <x v="233"/>
    <x v="232"/>
    <x v="235"/>
    <x v="3"/>
  </r>
  <r>
    <d v="2020-05-23T00:00:00"/>
    <x v="9"/>
    <x v="236"/>
    <x v="236"/>
    <n v="17"/>
    <x v="234"/>
    <x v="233"/>
    <x v="236"/>
    <x v="2"/>
  </r>
  <r>
    <d v="2020-05-25T00:00:00"/>
    <x v="9"/>
    <x v="237"/>
    <x v="237"/>
    <n v="17"/>
    <x v="235"/>
    <x v="234"/>
    <x v="237"/>
    <x v="0"/>
  </r>
  <r>
    <d v="2020-04-30T00:00:00"/>
    <x v="9"/>
    <x v="238"/>
    <x v="238"/>
    <n v="15"/>
    <x v="83"/>
    <x v="235"/>
    <x v="238"/>
    <x v="4"/>
  </r>
  <r>
    <d v="2020-05-10T00:00:00"/>
    <x v="9"/>
    <x v="239"/>
    <x v="239"/>
    <n v="15"/>
    <x v="236"/>
    <x v="236"/>
    <x v="239"/>
    <x v="3"/>
  </r>
  <r>
    <d v="2020-05-08T00:00:00"/>
    <x v="9"/>
    <x v="240"/>
    <x v="240"/>
    <n v="15"/>
    <x v="237"/>
    <x v="237"/>
    <x v="240"/>
    <x v="3"/>
  </r>
  <r>
    <d v="2020-05-07T00:00:00"/>
    <x v="9"/>
    <x v="241"/>
    <x v="241"/>
    <n v="15"/>
    <x v="238"/>
    <x v="238"/>
    <x v="241"/>
    <x v="3"/>
  </r>
  <r>
    <d v="2020-05-24T00:00:00"/>
    <x v="9"/>
    <x v="242"/>
    <x v="242"/>
    <n v="17"/>
    <x v="239"/>
    <x v="239"/>
    <x v="242"/>
    <x v="2"/>
  </r>
  <r>
    <d v="2020-05-16T00:00:00"/>
    <x v="10"/>
    <x v="243"/>
    <x v="243"/>
    <n v="15"/>
    <x v="240"/>
    <x v="220"/>
    <x v="243"/>
    <x v="1"/>
  </r>
  <r>
    <d v="2020-05-19T00:00:00"/>
    <x v="10"/>
    <x v="244"/>
    <x v="244"/>
    <n v="15"/>
    <x v="241"/>
    <x v="240"/>
    <x v="244"/>
    <x v="2"/>
  </r>
  <r>
    <d v="2020-05-17T00:00:00"/>
    <x v="10"/>
    <x v="245"/>
    <x v="245"/>
    <n v="15"/>
    <x v="61"/>
    <x v="64"/>
    <x v="245"/>
    <x v="1"/>
  </r>
  <r>
    <d v="2020-05-09T00:00:00"/>
    <x v="10"/>
    <x v="246"/>
    <x v="246"/>
    <n v="15"/>
    <x v="242"/>
    <x v="241"/>
    <x v="246"/>
    <x v="3"/>
  </r>
  <r>
    <d v="2020-05-04T00:00:00"/>
    <x v="10"/>
    <x v="247"/>
    <x v="247"/>
    <n v="15"/>
    <x v="243"/>
    <x v="242"/>
    <x v="247"/>
    <x v="3"/>
  </r>
  <r>
    <d v="2020-04-29T00:00:00"/>
    <x v="11"/>
    <x v="248"/>
    <x v="248"/>
    <n v="18"/>
    <x v="244"/>
    <x v="243"/>
    <x v="248"/>
    <x v="4"/>
  </r>
  <r>
    <d v="2020-05-02T00:00:00"/>
    <x v="10"/>
    <x v="249"/>
    <x v="249"/>
    <n v="15"/>
    <x v="245"/>
    <x v="244"/>
    <x v="249"/>
    <x v="4"/>
  </r>
  <r>
    <d v="2020-05-26T00:00:00"/>
    <x v="10"/>
    <x v="250"/>
    <x v="250"/>
    <n v="15"/>
    <x v="246"/>
    <x v="245"/>
    <x v="250"/>
    <x v="0"/>
  </r>
  <r>
    <d v="2020-05-01T00:00:00"/>
    <x v="10"/>
    <x v="251"/>
    <x v="251"/>
    <n v="15"/>
    <x v="247"/>
    <x v="246"/>
    <x v="251"/>
    <x v="4"/>
  </r>
  <r>
    <d v="2020-05-12T00:00:00"/>
    <x v="10"/>
    <x v="252"/>
    <x v="252"/>
    <n v="15"/>
    <x v="248"/>
    <x v="247"/>
    <x v="252"/>
    <x v="1"/>
  </r>
  <r>
    <d v="2020-05-21T00:00:00"/>
    <x v="10"/>
    <x v="253"/>
    <x v="253"/>
    <n v="15"/>
    <x v="81"/>
    <x v="248"/>
    <x v="253"/>
    <x v="2"/>
  </r>
  <r>
    <d v="2020-05-20T00:00:00"/>
    <x v="10"/>
    <x v="254"/>
    <x v="254"/>
    <n v="15"/>
    <x v="54"/>
    <x v="249"/>
    <x v="254"/>
    <x v="2"/>
  </r>
  <r>
    <d v="2020-05-05T00:00:00"/>
    <x v="10"/>
    <x v="255"/>
    <x v="255"/>
    <n v="15"/>
    <x v="249"/>
    <x v="250"/>
    <x v="255"/>
    <x v="3"/>
  </r>
  <r>
    <d v="2020-04-28T00:00:00"/>
    <x v="11"/>
    <x v="256"/>
    <x v="256"/>
    <n v="18"/>
    <x v="250"/>
    <x v="251"/>
    <x v="256"/>
    <x v="4"/>
  </r>
  <r>
    <d v="2020-05-13T00:00:00"/>
    <x v="10"/>
    <x v="257"/>
    <x v="257"/>
    <n v="15"/>
    <x v="251"/>
    <x v="252"/>
    <x v="257"/>
    <x v="1"/>
  </r>
  <r>
    <d v="2020-05-31T00:00:00"/>
    <x v="9"/>
    <x v="258"/>
    <x v="258"/>
    <n v="17"/>
    <x v="252"/>
    <x v="253"/>
    <x v="258"/>
    <x v="0"/>
  </r>
  <r>
    <d v="2020-05-03T00:00:00"/>
    <x v="10"/>
    <x v="259"/>
    <x v="259"/>
    <n v="15"/>
    <x v="249"/>
    <x v="254"/>
    <x v="259"/>
    <x v="4"/>
  </r>
  <r>
    <d v="2020-05-30T00:00:00"/>
    <x v="9"/>
    <x v="260"/>
    <x v="260"/>
    <n v="17"/>
    <x v="253"/>
    <x v="255"/>
    <x v="260"/>
    <x v="0"/>
  </r>
  <r>
    <d v="2020-05-06T00:00:00"/>
    <x v="10"/>
    <x v="261"/>
    <x v="261"/>
    <n v="15"/>
    <x v="254"/>
    <x v="256"/>
    <x v="261"/>
    <x v="3"/>
  </r>
  <r>
    <d v="2020-05-23T00:00:00"/>
    <x v="10"/>
    <x v="262"/>
    <x v="262"/>
    <n v="15"/>
    <x v="255"/>
    <x v="257"/>
    <x v="262"/>
    <x v="2"/>
  </r>
  <r>
    <d v="2020-05-28T00:00:00"/>
    <x v="9"/>
    <x v="263"/>
    <x v="263"/>
    <n v="17"/>
    <x v="256"/>
    <x v="258"/>
    <x v="263"/>
    <x v="0"/>
  </r>
  <r>
    <d v="2020-05-25T00:00:00"/>
    <x v="10"/>
    <x v="264"/>
    <x v="264"/>
    <n v="15"/>
    <x v="257"/>
    <x v="259"/>
    <x v="264"/>
    <x v="0"/>
  </r>
  <r>
    <d v="2020-04-30T00:00:00"/>
    <x v="10"/>
    <x v="265"/>
    <x v="265"/>
    <n v="15"/>
    <x v="258"/>
    <x v="260"/>
    <x v="265"/>
    <x v="4"/>
  </r>
  <r>
    <d v="2020-05-10T00:00:00"/>
    <x v="10"/>
    <x v="266"/>
    <x v="266"/>
    <n v="15"/>
    <x v="259"/>
    <x v="261"/>
    <x v="266"/>
    <x v="3"/>
  </r>
  <r>
    <d v="2020-05-08T00:00:00"/>
    <x v="10"/>
    <x v="267"/>
    <x v="267"/>
    <n v="15"/>
    <x v="260"/>
    <x v="262"/>
    <x v="267"/>
    <x v="3"/>
  </r>
  <r>
    <d v="2020-05-07T00:00:00"/>
    <x v="10"/>
    <x v="268"/>
    <x v="268"/>
    <n v="15"/>
    <x v="261"/>
    <x v="263"/>
    <x v="268"/>
    <x v="3"/>
  </r>
  <r>
    <d v="2020-05-24T00:00:00"/>
    <x v="10"/>
    <x v="269"/>
    <x v="269"/>
    <n v="15"/>
    <x v="262"/>
    <x v="264"/>
    <x v="269"/>
    <x v="2"/>
  </r>
  <r>
    <d v="2020-05-16T00:00:00"/>
    <x v="11"/>
    <x v="270"/>
    <x v="270"/>
    <n v="19"/>
    <x v="263"/>
    <x v="265"/>
    <x v="270"/>
    <x v="1"/>
  </r>
  <r>
    <d v="2020-05-19T00:00:00"/>
    <x v="11"/>
    <x v="271"/>
    <x v="271"/>
    <n v="19"/>
    <x v="264"/>
    <x v="266"/>
    <x v="271"/>
    <x v="2"/>
  </r>
  <r>
    <d v="2020-05-17T00:00:00"/>
    <x v="11"/>
    <x v="272"/>
    <x v="272"/>
    <n v="19"/>
    <x v="265"/>
    <x v="11"/>
    <x v="272"/>
    <x v="1"/>
  </r>
  <r>
    <d v="2020-05-09T00:00:00"/>
    <x v="11"/>
    <x v="273"/>
    <x v="273"/>
    <n v="19"/>
    <x v="25"/>
    <x v="267"/>
    <x v="273"/>
    <x v="3"/>
  </r>
  <r>
    <d v="2020-05-04T00:00:00"/>
    <x v="11"/>
    <x v="274"/>
    <x v="274"/>
    <n v="19"/>
    <x v="266"/>
    <x v="268"/>
    <x v="274"/>
    <x v="3"/>
  </r>
  <r>
    <d v="2020-05-02T00:00:00"/>
    <x v="11"/>
    <x v="275"/>
    <x v="275"/>
    <n v="19"/>
    <x v="267"/>
    <x v="269"/>
    <x v="275"/>
    <x v="4"/>
  </r>
  <r>
    <d v="2020-05-26T00:00:00"/>
    <x v="11"/>
    <x v="276"/>
    <x v="276"/>
    <n v="20"/>
    <x v="268"/>
    <x v="270"/>
    <x v="276"/>
    <x v="0"/>
  </r>
  <r>
    <d v="2020-05-01T00:00:00"/>
    <x v="11"/>
    <x v="277"/>
    <x v="277"/>
    <n v="19"/>
    <x v="269"/>
    <x v="101"/>
    <x v="277"/>
    <x v="4"/>
  </r>
  <r>
    <d v="2020-05-12T00:00:00"/>
    <x v="11"/>
    <x v="278"/>
    <x v="278"/>
    <n v="19"/>
    <x v="270"/>
    <x v="271"/>
    <x v="278"/>
    <x v="1"/>
  </r>
  <r>
    <d v="2020-05-21T00:00:00"/>
    <x v="11"/>
    <x v="279"/>
    <x v="279"/>
    <n v="19"/>
    <x v="271"/>
    <x v="272"/>
    <x v="279"/>
    <x v="2"/>
  </r>
  <r>
    <d v="2020-05-20T00:00:00"/>
    <x v="11"/>
    <x v="280"/>
    <x v="280"/>
    <n v="19"/>
    <x v="272"/>
    <x v="273"/>
    <x v="280"/>
    <x v="2"/>
  </r>
  <r>
    <d v="2020-05-05T00:00:00"/>
    <x v="11"/>
    <x v="281"/>
    <x v="281"/>
    <n v="19"/>
    <x v="273"/>
    <x v="274"/>
    <x v="281"/>
    <x v="3"/>
  </r>
  <r>
    <d v="2020-05-13T00:00:00"/>
    <x v="11"/>
    <x v="282"/>
    <x v="282"/>
    <n v="19"/>
    <x v="274"/>
    <x v="275"/>
    <x v="282"/>
    <x v="1"/>
  </r>
  <r>
    <d v="2020-05-31T00:00:00"/>
    <x v="10"/>
    <x v="283"/>
    <x v="283"/>
    <n v="16"/>
    <x v="275"/>
    <x v="276"/>
    <x v="283"/>
    <x v="0"/>
  </r>
  <r>
    <d v="2020-05-03T00:00:00"/>
    <x v="11"/>
    <x v="284"/>
    <x v="284"/>
    <n v="19"/>
    <x v="276"/>
    <x v="277"/>
    <x v="284"/>
    <x v="4"/>
  </r>
  <r>
    <d v="2020-05-30T00:00:00"/>
    <x v="10"/>
    <x v="285"/>
    <x v="285"/>
    <n v="16"/>
    <x v="277"/>
    <x v="278"/>
    <x v="285"/>
    <x v="0"/>
  </r>
  <r>
    <d v="2020-05-06T00:00:00"/>
    <x v="11"/>
    <x v="286"/>
    <x v="286"/>
    <n v="19"/>
    <x v="278"/>
    <x v="279"/>
    <x v="286"/>
    <x v="3"/>
  </r>
  <r>
    <d v="2020-05-23T00:00:00"/>
    <x v="11"/>
    <x v="287"/>
    <x v="287"/>
    <n v="19"/>
    <x v="279"/>
    <x v="280"/>
    <x v="287"/>
    <x v="2"/>
  </r>
  <r>
    <d v="2020-05-28T00:00:00"/>
    <x v="10"/>
    <x v="288"/>
    <x v="288"/>
    <n v="16"/>
    <x v="280"/>
    <x v="281"/>
    <x v="288"/>
    <x v="0"/>
  </r>
  <r>
    <d v="2020-05-25T00:00:00"/>
    <x v="11"/>
    <x v="289"/>
    <x v="289"/>
    <n v="20"/>
    <x v="281"/>
    <x v="282"/>
    <x v="289"/>
    <x v="0"/>
  </r>
  <r>
    <d v="2020-04-30T00:00:00"/>
    <x v="11"/>
    <x v="290"/>
    <x v="290"/>
    <n v="19"/>
    <x v="282"/>
    <x v="283"/>
    <x v="290"/>
    <x v="4"/>
  </r>
  <r>
    <d v="2020-05-10T00:00:00"/>
    <x v="11"/>
    <x v="291"/>
    <x v="291"/>
    <n v="19"/>
    <x v="283"/>
    <x v="284"/>
    <x v="291"/>
    <x v="3"/>
  </r>
  <r>
    <d v="2020-05-08T00:00:00"/>
    <x v="11"/>
    <x v="292"/>
    <x v="292"/>
    <n v="19"/>
    <x v="18"/>
    <x v="285"/>
    <x v="292"/>
    <x v="3"/>
  </r>
  <r>
    <d v="2020-05-07T00:00:00"/>
    <x v="11"/>
    <x v="293"/>
    <x v="293"/>
    <n v="19"/>
    <x v="284"/>
    <x v="286"/>
    <x v="293"/>
    <x v="3"/>
  </r>
  <r>
    <d v="2020-05-24T00:00:00"/>
    <x v="11"/>
    <x v="294"/>
    <x v="294"/>
    <n v="19"/>
    <x v="285"/>
    <x v="287"/>
    <x v="294"/>
    <x v="2"/>
  </r>
  <r>
    <d v="2020-04-29T00:00:00"/>
    <x v="12"/>
    <x v="295"/>
    <x v="295"/>
    <n v="59"/>
    <x v="286"/>
    <x v="288"/>
    <x v="295"/>
    <x v="4"/>
  </r>
  <r>
    <d v="2020-04-28T00:00:00"/>
    <x v="12"/>
    <x v="296"/>
    <x v="296"/>
    <n v="59"/>
    <x v="287"/>
    <x v="289"/>
    <x v="296"/>
    <x v="4"/>
  </r>
  <r>
    <d v="2020-05-31T00:00:00"/>
    <x v="11"/>
    <x v="297"/>
    <x v="297"/>
    <n v="21"/>
    <x v="288"/>
    <x v="290"/>
    <x v="297"/>
    <x v="0"/>
  </r>
  <r>
    <d v="2020-05-30T00:00:00"/>
    <x v="11"/>
    <x v="298"/>
    <x v="298"/>
    <n v="20"/>
    <x v="289"/>
    <x v="291"/>
    <x v="298"/>
    <x v="0"/>
  </r>
  <r>
    <d v="2020-05-28T00:00:00"/>
    <x v="11"/>
    <x v="299"/>
    <x v="299"/>
    <n v="20"/>
    <x v="290"/>
    <x v="292"/>
    <x v="299"/>
    <x v="0"/>
  </r>
  <r>
    <d v="2020-05-16T00:00:00"/>
    <x v="12"/>
    <x v="300"/>
    <x v="300"/>
    <n v="60"/>
    <x v="291"/>
    <x v="293"/>
    <x v="300"/>
    <x v="1"/>
  </r>
  <r>
    <d v="2020-05-19T00:00:00"/>
    <x v="12"/>
    <x v="301"/>
    <x v="301"/>
    <n v="60"/>
    <x v="292"/>
    <x v="294"/>
    <x v="301"/>
    <x v="2"/>
  </r>
  <r>
    <d v="2020-05-17T00:00:00"/>
    <x v="12"/>
    <x v="302"/>
    <x v="302"/>
    <n v="60"/>
    <x v="293"/>
    <x v="295"/>
    <x v="302"/>
    <x v="1"/>
  </r>
  <r>
    <d v="2020-05-09T00:00:00"/>
    <x v="12"/>
    <x v="303"/>
    <x v="303"/>
    <n v="59"/>
    <x v="294"/>
    <x v="296"/>
    <x v="303"/>
    <x v="3"/>
  </r>
  <r>
    <d v="2020-05-04T00:00:00"/>
    <x v="12"/>
    <x v="304"/>
    <x v="304"/>
    <n v="59"/>
    <x v="295"/>
    <x v="297"/>
    <x v="304"/>
    <x v="3"/>
  </r>
  <r>
    <d v="2020-04-29T00:00:00"/>
    <x v="13"/>
    <x v="305"/>
    <x v="305"/>
    <n v="54"/>
    <x v="296"/>
    <x v="298"/>
    <x v="305"/>
    <x v="4"/>
  </r>
  <r>
    <d v="2020-05-02T00:00:00"/>
    <x v="12"/>
    <x v="306"/>
    <x v="306"/>
    <n v="59"/>
    <x v="297"/>
    <x v="299"/>
    <x v="306"/>
    <x v="4"/>
  </r>
  <r>
    <d v="2020-05-26T00:00:00"/>
    <x v="12"/>
    <x v="307"/>
    <x v="307"/>
    <n v="59"/>
    <x v="298"/>
    <x v="300"/>
    <x v="307"/>
    <x v="0"/>
  </r>
  <r>
    <d v="2020-05-01T00:00:00"/>
    <x v="12"/>
    <x v="308"/>
    <x v="308"/>
    <n v="59"/>
    <x v="299"/>
    <x v="301"/>
    <x v="308"/>
    <x v="4"/>
  </r>
  <r>
    <d v="2020-05-12T00:00:00"/>
    <x v="12"/>
    <x v="309"/>
    <x v="309"/>
    <n v="60"/>
    <x v="300"/>
    <x v="302"/>
    <x v="309"/>
    <x v="1"/>
  </r>
  <r>
    <d v="2020-05-21T00:00:00"/>
    <x v="12"/>
    <x v="310"/>
    <x v="310"/>
    <n v="60"/>
    <x v="301"/>
    <x v="303"/>
    <x v="310"/>
    <x v="2"/>
  </r>
  <r>
    <d v="2020-05-20T00:00:00"/>
    <x v="12"/>
    <x v="311"/>
    <x v="311"/>
    <n v="60"/>
    <x v="302"/>
    <x v="304"/>
    <x v="311"/>
    <x v="2"/>
  </r>
  <r>
    <d v="2020-05-05T00:00:00"/>
    <x v="12"/>
    <x v="312"/>
    <x v="312"/>
    <n v="59"/>
    <x v="303"/>
    <x v="305"/>
    <x v="312"/>
    <x v="3"/>
  </r>
  <r>
    <d v="2020-04-28T00:00:00"/>
    <x v="13"/>
    <x v="313"/>
    <x v="313"/>
    <n v="54"/>
    <x v="304"/>
    <x v="306"/>
    <x v="313"/>
    <x v="4"/>
  </r>
  <r>
    <d v="2020-05-13T00:00:00"/>
    <x v="12"/>
    <x v="314"/>
    <x v="314"/>
    <n v="60"/>
    <x v="305"/>
    <x v="307"/>
    <x v="314"/>
    <x v="1"/>
  </r>
  <r>
    <d v="2020-05-03T00:00:00"/>
    <x v="12"/>
    <x v="315"/>
    <x v="315"/>
    <n v="59"/>
    <x v="306"/>
    <x v="308"/>
    <x v="315"/>
    <x v="4"/>
  </r>
  <r>
    <d v="2020-05-06T00:00:00"/>
    <x v="12"/>
    <x v="316"/>
    <x v="316"/>
    <n v="59"/>
    <x v="307"/>
    <x v="293"/>
    <x v="316"/>
    <x v="3"/>
  </r>
  <r>
    <d v="2020-05-23T00:00:00"/>
    <x v="12"/>
    <x v="317"/>
    <x v="317"/>
    <n v="60"/>
    <x v="308"/>
    <x v="309"/>
    <x v="317"/>
    <x v="2"/>
  </r>
  <r>
    <d v="2020-05-25T00:00:00"/>
    <x v="12"/>
    <x v="318"/>
    <x v="318"/>
    <n v="59"/>
    <x v="309"/>
    <x v="310"/>
    <x v="318"/>
    <x v="0"/>
  </r>
  <r>
    <d v="2020-04-30T00:00:00"/>
    <x v="12"/>
    <x v="319"/>
    <x v="319"/>
    <n v="59"/>
    <x v="310"/>
    <x v="311"/>
    <x v="319"/>
    <x v="4"/>
  </r>
  <r>
    <d v="2020-05-10T00:00:00"/>
    <x v="12"/>
    <x v="320"/>
    <x v="320"/>
    <n v="59"/>
    <x v="311"/>
    <x v="312"/>
    <x v="320"/>
    <x v="3"/>
  </r>
  <r>
    <d v="2020-05-08T00:00:00"/>
    <x v="12"/>
    <x v="321"/>
    <x v="321"/>
    <n v="59"/>
    <x v="312"/>
    <x v="313"/>
    <x v="321"/>
    <x v="3"/>
  </r>
  <r>
    <d v="2020-05-07T00:00:00"/>
    <x v="12"/>
    <x v="322"/>
    <x v="322"/>
    <n v="59"/>
    <x v="313"/>
    <x v="314"/>
    <x v="322"/>
    <x v="3"/>
  </r>
  <r>
    <d v="2020-05-24T00:00:00"/>
    <x v="12"/>
    <x v="323"/>
    <x v="323"/>
    <n v="60"/>
    <x v="314"/>
    <x v="315"/>
    <x v="323"/>
    <x v="2"/>
  </r>
  <r>
    <d v="2020-05-16T00:00:00"/>
    <x v="13"/>
    <x v="324"/>
    <x v="324"/>
    <n v="54"/>
    <x v="315"/>
    <x v="316"/>
    <x v="324"/>
    <x v="1"/>
  </r>
  <r>
    <d v="2020-05-19T00:00:00"/>
    <x v="13"/>
    <x v="325"/>
    <x v="325"/>
    <n v="54"/>
    <x v="316"/>
    <x v="317"/>
    <x v="325"/>
    <x v="2"/>
  </r>
  <r>
    <d v="2020-05-17T00:00:00"/>
    <x v="13"/>
    <x v="326"/>
    <x v="326"/>
    <n v="54"/>
    <x v="317"/>
    <x v="318"/>
    <x v="326"/>
    <x v="1"/>
  </r>
  <r>
    <d v="2020-05-09T00:00:00"/>
    <x v="13"/>
    <x v="327"/>
    <x v="327"/>
    <n v="54"/>
    <x v="318"/>
    <x v="319"/>
    <x v="327"/>
    <x v="3"/>
  </r>
  <r>
    <d v="2020-05-04T00:00:00"/>
    <x v="13"/>
    <x v="328"/>
    <x v="328"/>
    <n v="54"/>
    <x v="319"/>
    <x v="320"/>
    <x v="328"/>
    <x v="3"/>
  </r>
  <r>
    <d v="2020-05-02T00:00:00"/>
    <x v="13"/>
    <x v="329"/>
    <x v="329"/>
    <n v="54"/>
    <x v="320"/>
    <x v="321"/>
    <x v="329"/>
    <x v="4"/>
  </r>
  <r>
    <d v="2020-05-26T00:00:00"/>
    <x v="13"/>
    <x v="330"/>
    <x v="330"/>
    <n v="54"/>
    <x v="321"/>
    <x v="322"/>
    <x v="330"/>
    <x v="0"/>
  </r>
  <r>
    <d v="2020-05-01T00:00:00"/>
    <x v="13"/>
    <x v="331"/>
    <x v="331"/>
    <n v="54"/>
    <x v="322"/>
    <x v="323"/>
    <x v="331"/>
    <x v="4"/>
  </r>
  <r>
    <d v="2020-05-12T00:00:00"/>
    <x v="13"/>
    <x v="332"/>
    <x v="332"/>
    <n v="54"/>
    <x v="323"/>
    <x v="324"/>
    <x v="332"/>
    <x v="1"/>
  </r>
  <r>
    <d v="2020-05-21T00:00:00"/>
    <x v="13"/>
    <x v="333"/>
    <x v="333"/>
    <n v="54"/>
    <x v="324"/>
    <x v="325"/>
    <x v="333"/>
    <x v="2"/>
  </r>
  <r>
    <d v="2020-05-20T00:00:00"/>
    <x v="13"/>
    <x v="334"/>
    <x v="334"/>
    <n v="54"/>
    <x v="325"/>
    <x v="326"/>
    <x v="334"/>
    <x v="2"/>
  </r>
  <r>
    <d v="2020-05-05T00:00:00"/>
    <x v="13"/>
    <x v="335"/>
    <x v="335"/>
    <n v="54"/>
    <x v="326"/>
    <x v="327"/>
    <x v="335"/>
    <x v="3"/>
  </r>
  <r>
    <d v="2020-05-13T00:00:00"/>
    <x v="13"/>
    <x v="336"/>
    <x v="336"/>
    <n v="54"/>
    <x v="327"/>
    <x v="328"/>
    <x v="336"/>
    <x v="1"/>
  </r>
  <r>
    <d v="2020-05-31T00:00:00"/>
    <x v="12"/>
    <x v="337"/>
    <x v="337"/>
    <n v="59"/>
    <x v="328"/>
    <x v="329"/>
    <x v="337"/>
    <x v="0"/>
  </r>
  <r>
    <d v="2020-05-03T00:00:00"/>
    <x v="13"/>
    <x v="338"/>
    <x v="338"/>
    <n v="54"/>
    <x v="329"/>
    <x v="330"/>
    <x v="338"/>
    <x v="4"/>
  </r>
  <r>
    <d v="2020-05-30T00:00:00"/>
    <x v="12"/>
    <x v="339"/>
    <x v="339"/>
    <n v="59"/>
    <x v="330"/>
    <x v="331"/>
    <x v="339"/>
    <x v="0"/>
  </r>
  <r>
    <d v="2020-05-06T00:00:00"/>
    <x v="13"/>
    <x v="340"/>
    <x v="340"/>
    <n v="54"/>
    <x v="331"/>
    <x v="332"/>
    <x v="340"/>
    <x v="3"/>
  </r>
  <r>
    <d v="2020-05-23T00:00:00"/>
    <x v="13"/>
    <x v="341"/>
    <x v="341"/>
    <n v="54"/>
    <x v="332"/>
    <x v="333"/>
    <x v="341"/>
    <x v="2"/>
  </r>
  <r>
    <d v="2020-05-28T00:00:00"/>
    <x v="12"/>
    <x v="342"/>
    <x v="342"/>
    <n v="60"/>
    <x v="333"/>
    <x v="334"/>
    <x v="342"/>
    <x v="0"/>
  </r>
  <r>
    <d v="2020-05-25T00:00:00"/>
    <x v="13"/>
    <x v="343"/>
    <x v="343"/>
    <n v="54"/>
    <x v="334"/>
    <x v="335"/>
    <x v="343"/>
    <x v="0"/>
  </r>
  <r>
    <d v="2020-04-30T00:00:00"/>
    <x v="13"/>
    <x v="344"/>
    <x v="344"/>
    <n v="54"/>
    <x v="335"/>
    <x v="336"/>
    <x v="344"/>
    <x v="4"/>
  </r>
  <r>
    <d v="2020-05-10T00:00:00"/>
    <x v="13"/>
    <x v="345"/>
    <x v="345"/>
    <n v="54"/>
    <x v="336"/>
    <x v="337"/>
    <x v="345"/>
    <x v="3"/>
  </r>
  <r>
    <d v="2020-05-08T00:00:00"/>
    <x v="13"/>
    <x v="346"/>
    <x v="346"/>
    <n v="54"/>
    <x v="337"/>
    <x v="338"/>
    <x v="346"/>
    <x v="3"/>
  </r>
  <r>
    <d v="2020-05-07T00:00:00"/>
    <x v="13"/>
    <x v="347"/>
    <x v="347"/>
    <n v="54"/>
    <x v="338"/>
    <x v="339"/>
    <x v="347"/>
    <x v="3"/>
  </r>
  <r>
    <d v="2020-05-24T00:00:00"/>
    <x v="13"/>
    <x v="348"/>
    <x v="348"/>
    <n v="54"/>
    <x v="339"/>
    <x v="340"/>
    <x v="348"/>
    <x v="2"/>
  </r>
  <r>
    <d v="2020-04-29T00:00:00"/>
    <x v="14"/>
    <x v="349"/>
    <x v="349"/>
    <n v="15"/>
    <x v="340"/>
    <x v="341"/>
    <x v="349"/>
    <x v="4"/>
  </r>
  <r>
    <d v="2020-04-28T00:00:00"/>
    <x v="14"/>
    <x v="350"/>
    <x v="350"/>
    <n v="15"/>
    <x v="341"/>
    <x v="77"/>
    <x v="350"/>
    <x v="4"/>
  </r>
  <r>
    <d v="2020-05-31T00:00:00"/>
    <x v="13"/>
    <x v="351"/>
    <x v="351"/>
    <n v="54"/>
    <x v="342"/>
    <x v="342"/>
    <x v="351"/>
    <x v="0"/>
  </r>
  <r>
    <d v="2020-05-30T00:00:00"/>
    <x v="13"/>
    <x v="352"/>
    <x v="352"/>
    <n v="54"/>
    <x v="343"/>
    <x v="343"/>
    <x v="352"/>
    <x v="0"/>
  </r>
  <r>
    <d v="2020-05-28T00:00:00"/>
    <x v="13"/>
    <x v="353"/>
    <x v="353"/>
    <n v="54"/>
    <x v="344"/>
    <x v="344"/>
    <x v="353"/>
    <x v="0"/>
  </r>
  <r>
    <d v="2020-05-16T00:00:00"/>
    <x v="14"/>
    <x v="354"/>
    <x v="354"/>
    <n v="16"/>
    <x v="345"/>
    <x v="345"/>
    <x v="354"/>
    <x v="1"/>
  </r>
  <r>
    <d v="2020-05-19T00:00:00"/>
    <x v="14"/>
    <x v="355"/>
    <x v="355"/>
    <n v="17"/>
    <x v="346"/>
    <x v="346"/>
    <x v="355"/>
    <x v="2"/>
  </r>
  <r>
    <d v="2020-05-17T00:00:00"/>
    <x v="14"/>
    <x v="266"/>
    <x v="356"/>
    <n v="16"/>
    <x v="347"/>
    <x v="347"/>
    <x v="356"/>
    <x v="1"/>
  </r>
  <r>
    <d v="2020-05-09T00:00:00"/>
    <x v="14"/>
    <x v="356"/>
    <x v="357"/>
    <n v="15"/>
    <x v="348"/>
    <x v="348"/>
    <x v="357"/>
    <x v="3"/>
  </r>
  <r>
    <d v="2020-05-04T00:00:00"/>
    <x v="14"/>
    <x v="357"/>
    <x v="358"/>
    <n v="15"/>
    <x v="349"/>
    <x v="247"/>
    <x v="358"/>
    <x v="3"/>
  </r>
  <r>
    <d v="2020-05-02T00:00:00"/>
    <x v="14"/>
    <x v="358"/>
    <x v="359"/>
    <n v="15"/>
    <x v="350"/>
    <x v="349"/>
    <x v="359"/>
    <x v="4"/>
  </r>
  <r>
    <d v="2020-05-26T00:00:00"/>
    <x v="15"/>
    <x v="359"/>
    <x v="360"/>
    <n v="7"/>
    <x v="351"/>
    <x v="256"/>
    <x v="360"/>
    <x v="0"/>
  </r>
  <r>
    <d v="2020-05-01T00:00:00"/>
    <x v="14"/>
    <x v="360"/>
    <x v="361"/>
    <n v="15"/>
    <x v="352"/>
    <x v="350"/>
    <x v="361"/>
    <x v="4"/>
  </r>
  <r>
    <d v="2020-05-12T00:00:00"/>
    <x v="14"/>
    <x v="361"/>
    <x v="362"/>
    <n v="15"/>
    <x v="221"/>
    <x v="351"/>
    <x v="362"/>
    <x v="1"/>
  </r>
  <r>
    <d v="2020-05-21T00:00:00"/>
    <x v="14"/>
    <x v="362"/>
    <x v="363"/>
    <n v="18"/>
    <x v="353"/>
    <x v="352"/>
    <x v="363"/>
    <x v="2"/>
  </r>
  <r>
    <d v="2020-05-20T00:00:00"/>
    <x v="14"/>
    <x v="363"/>
    <x v="364"/>
    <n v="17"/>
    <x v="354"/>
    <x v="353"/>
    <x v="364"/>
    <x v="2"/>
  </r>
  <r>
    <d v="2020-05-05T00:00:00"/>
    <x v="14"/>
    <x v="364"/>
    <x v="365"/>
    <n v="15"/>
    <x v="221"/>
    <x v="354"/>
    <x v="365"/>
    <x v="3"/>
  </r>
  <r>
    <d v="2020-05-13T00:00:00"/>
    <x v="14"/>
    <x v="365"/>
    <x v="366"/>
    <n v="15"/>
    <x v="355"/>
    <x v="355"/>
    <x v="366"/>
    <x v="1"/>
  </r>
  <r>
    <d v="2020-05-03T00:00:00"/>
    <x v="14"/>
    <x v="366"/>
    <x v="367"/>
    <n v="15"/>
    <x v="356"/>
    <x v="356"/>
    <x v="367"/>
    <x v="4"/>
  </r>
  <r>
    <d v="2020-05-06T00:00:00"/>
    <x v="14"/>
    <x v="367"/>
    <x v="368"/>
    <n v="15"/>
    <x v="357"/>
    <x v="357"/>
    <x v="368"/>
    <x v="3"/>
  </r>
  <r>
    <d v="2020-05-23T00:00:00"/>
    <x v="14"/>
    <x v="368"/>
    <x v="369"/>
    <n v="18"/>
    <x v="358"/>
    <x v="278"/>
    <x v="369"/>
    <x v="2"/>
  </r>
  <r>
    <d v="2020-05-25T00:00:00"/>
    <x v="14"/>
    <x v="369"/>
    <x v="370"/>
    <n v="18"/>
    <x v="359"/>
    <x v="358"/>
    <x v="370"/>
    <x v="0"/>
  </r>
  <r>
    <d v="2020-04-30T00:00:00"/>
    <x v="14"/>
    <x v="370"/>
    <x v="371"/>
    <n v="15"/>
    <x v="57"/>
    <x v="359"/>
    <x v="371"/>
    <x v="4"/>
  </r>
  <r>
    <d v="2020-05-10T00:00:00"/>
    <x v="14"/>
    <x v="371"/>
    <x v="372"/>
    <n v="15"/>
    <x v="360"/>
    <x v="221"/>
    <x v="372"/>
    <x v="3"/>
  </r>
  <r>
    <d v="2020-05-08T00:00:00"/>
    <x v="14"/>
    <x v="372"/>
    <x v="373"/>
    <n v="15"/>
    <x v="361"/>
    <x v="360"/>
    <x v="373"/>
    <x v="3"/>
  </r>
  <r>
    <d v="2020-05-07T00:00:00"/>
    <x v="14"/>
    <x v="373"/>
    <x v="374"/>
    <n v="15"/>
    <x v="362"/>
    <x v="64"/>
    <x v="374"/>
    <x v="3"/>
  </r>
  <r>
    <d v="2020-05-24T00:00:00"/>
    <x v="14"/>
    <x v="374"/>
    <x v="375"/>
    <n v="18"/>
    <x v="363"/>
    <x v="361"/>
    <x v="375"/>
    <x v="2"/>
  </r>
  <r>
    <d v="2020-05-26T00:00:00"/>
    <x v="14"/>
    <x v="375"/>
    <x v="376"/>
    <n v="18"/>
    <x v="364"/>
    <x v="362"/>
    <x v="376"/>
    <x v="0"/>
  </r>
  <r>
    <d v="2020-06-01T00:00:00"/>
    <x v="0"/>
    <x v="376"/>
    <x v="377"/>
    <n v="15"/>
    <x v="365"/>
    <x v="363"/>
    <x v="377"/>
    <x v="5"/>
  </r>
  <r>
    <d v="2020-05-31T00:00:00"/>
    <x v="16"/>
    <x v="377"/>
    <x v="378"/>
    <n v="9"/>
    <x v="366"/>
    <x v="364"/>
    <x v="378"/>
    <x v="0"/>
  </r>
  <r>
    <d v="2020-05-30T00:00:00"/>
    <x v="15"/>
    <x v="378"/>
    <x v="379"/>
    <n v="7"/>
    <x v="367"/>
    <x v="365"/>
    <x v="379"/>
    <x v="0"/>
  </r>
  <r>
    <d v="2020-05-29T00:00:00"/>
    <x v="0"/>
    <x v="379"/>
    <x v="380"/>
    <n v="15"/>
    <x v="368"/>
    <x v="366"/>
    <x v="380"/>
    <x v="0"/>
  </r>
  <r>
    <d v="2020-05-28T00:00:00"/>
    <x v="15"/>
    <x v="380"/>
    <x v="381"/>
    <n v="7"/>
    <x v="369"/>
    <x v="367"/>
    <x v="381"/>
    <x v="0"/>
  </r>
  <r>
    <d v="2020-05-27T00:00:00"/>
    <x v="1"/>
    <x v="381"/>
    <x v="382"/>
    <n v="20"/>
    <x v="370"/>
    <x v="368"/>
    <x v="382"/>
    <x v="0"/>
  </r>
  <r>
    <d v="2020-05-22T00:00:00"/>
    <x v="1"/>
    <x v="382"/>
    <x v="383"/>
    <n v="21"/>
    <x v="371"/>
    <x v="369"/>
    <x v="383"/>
    <x v="2"/>
  </r>
  <r>
    <d v="2020-05-31T00:00:00"/>
    <x v="17"/>
    <x v="383"/>
    <x v="384"/>
    <n v="6"/>
    <x v="372"/>
    <x v="370"/>
    <x v="384"/>
    <x v="0"/>
  </r>
  <r>
    <d v="2020-05-11T00:00:00"/>
    <x v="1"/>
    <x v="384"/>
    <x v="385"/>
    <n v="21"/>
    <x v="373"/>
    <x v="192"/>
    <x v="385"/>
    <x v="1"/>
  </r>
  <r>
    <d v="2020-05-30T00:00:00"/>
    <x v="14"/>
    <x v="385"/>
    <x v="386"/>
    <n v="18"/>
    <x v="374"/>
    <x v="371"/>
    <x v="386"/>
    <x v="0"/>
  </r>
  <r>
    <d v="2020-05-28T00:00:00"/>
    <x v="14"/>
    <x v="386"/>
    <x v="387"/>
    <n v="18"/>
    <x v="375"/>
    <x v="372"/>
    <x v="387"/>
    <x v="0"/>
  </r>
  <r>
    <d v="2020-05-18T00:00:00"/>
    <x v="1"/>
    <x v="387"/>
    <x v="388"/>
    <n v="21"/>
    <x v="376"/>
    <x v="85"/>
    <x v="388"/>
    <x v="2"/>
  </r>
  <r>
    <d v="2020-05-14T00:00:00"/>
    <x v="1"/>
    <x v="388"/>
    <x v="389"/>
    <n v="21"/>
    <x v="377"/>
    <x v="373"/>
    <x v="389"/>
    <x v="1"/>
  </r>
  <r>
    <d v="2020-05-15T00:00:00"/>
    <x v="1"/>
    <x v="389"/>
    <x v="390"/>
    <n v="21"/>
    <x v="196"/>
    <x v="374"/>
    <x v="390"/>
    <x v="1"/>
  </r>
  <r>
    <d v="2020-06-01T00:00:00"/>
    <x v="1"/>
    <x v="390"/>
    <x v="391"/>
    <n v="21"/>
    <x v="378"/>
    <x v="375"/>
    <x v="391"/>
    <x v="5"/>
  </r>
  <r>
    <d v="2020-05-31T00:00:00"/>
    <x v="15"/>
    <x v="391"/>
    <x v="392"/>
    <n v="7"/>
    <x v="379"/>
    <x v="376"/>
    <x v="392"/>
    <x v="0"/>
  </r>
  <r>
    <d v="2020-05-29T00:00:00"/>
    <x v="1"/>
    <x v="392"/>
    <x v="393"/>
    <n v="20"/>
    <x v="380"/>
    <x v="377"/>
    <x v="393"/>
    <x v="0"/>
  </r>
  <r>
    <d v="2020-05-27T00:00:00"/>
    <x v="2"/>
    <x v="393"/>
    <x v="394"/>
    <n v="31"/>
    <x v="381"/>
    <x v="378"/>
    <x v="394"/>
    <x v="0"/>
  </r>
  <r>
    <d v="2020-05-22T00:00:00"/>
    <x v="2"/>
    <x v="394"/>
    <x v="395"/>
    <n v="31"/>
    <x v="382"/>
    <x v="379"/>
    <x v="395"/>
    <x v="2"/>
  </r>
  <r>
    <d v="2020-06-01T00:00:00"/>
    <x v="2"/>
    <x v="395"/>
    <x v="396"/>
    <n v="31"/>
    <x v="383"/>
    <x v="380"/>
    <x v="396"/>
    <x v="5"/>
  </r>
  <r>
    <d v="2020-05-31T00:00:00"/>
    <x v="14"/>
    <x v="396"/>
    <x v="397"/>
    <n v="18"/>
    <x v="384"/>
    <x v="381"/>
    <x v="397"/>
    <x v="0"/>
  </r>
  <r>
    <d v="2020-05-11T00:00:00"/>
    <x v="2"/>
    <x v="397"/>
    <x v="398"/>
    <n v="31"/>
    <x v="185"/>
    <x v="382"/>
    <x v="398"/>
    <x v="1"/>
  </r>
  <r>
    <d v="2020-05-18T00:00:00"/>
    <x v="2"/>
    <x v="398"/>
    <x v="399"/>
    <n v="31"/>
    <x v="385"/>
    <x v="383"/>
    <x v="399"/>
    <x v="2"/>
  </r>
  <r>
    <d v="2020-05-14T00:00:00"/>
    <x v="2"/>
    <x v="399"/>
    <x v="400"/>
    <n v="31"/>
    <x v="386"/>
    <x v="384"/>
    <x v="400"/>
    <x v="1"/>
  </r>
  <r>
    <d v="2020-05-15T00:00:00"/>
    <x v="2"/>
    <x v="400"/>
    <x v="401"/>
    <n v="31"/>
    <x v="387"/>
    <x v="385"/>
    <x v="401"/>
    <x v="1"/>
  </r>
  <r>
    <d v="2020-05-27T00:00:00"/>
    <x v="3"/>
    <x v="401"/>
    <x v="402"/>
    <n v="10"/>
    <x v="388"/>
    <x v="386"/>
    <x v="402"/>
    <x v="0"/>
  </r>
  <r>
    <d v="2020-05-22T00:00:00"/>
    <x v="3"/>
    <x v="402"/>
    <x v="403"/>
    <n v="10"/>
    <x v="389"/>
    <x v="387"/>
    <x v="403"/>
    <x v="2"/>
  </r>
  <r>
    <d v="2020-06-01T00:00:00"/>
    <x v="3"/>
    <x v="403"/>
    <x v="404"/>
    <n v="10"/>
    <x v="390"/>
    <x v="388"/>
    <x v="404"/>
    <x v="5"/>
  </r>
  <r>
    <d v="2020-05-11T00:00:00"/>
    <x v="3"/>
    <x v="404"/>
    <x v="405"/>
    <n v="10"/>
    <x v="391"/>
    <x v="389"/>
    <x v="405"/>
    <x v="1"/>
  </r>
  <r>
    <d v="2020-05-29T00:00:00"/>
    <x v="2"/>
    <x v="405"/>
    <x v="406"/>
    <n v="31"/>
    <x v="392"/>
    <x v="390"/>
    <x v="406"/>
    <x v="0"/>
  </r>
  <r>
    <d v="2020-05-18T00:00:00"/>
    <x v="3"/>
    <x v="406"/>
    <x v="407"/>
    <n v="10"/>
    <x v="393"/>
    <x v="391"/>
    <x v="407"/>
    <x v="2"/>
  </r>
  <r>
    <d v="2020-05-14T00:00:00"/>
    <x v="3"/>
    <x v="246"/>
    <x v="408"/>
    <n v="10"/>
    <x v="394"/>
    <x v="392"/>
    <x v="408"/>
    <x v="1"/>
  </r>
  <r>
    <d v="2020-05-15T00:00:00"/>
    <x v="3"/>
    <x v="407"/>
    <x v="409"/>
    <n v="10"/>
    <x v="395"/>
    <x v="248"/>
    <x v="409"/>
    <x v="1"/>
  </r>
  <r>
    <d v="2020-05-29T00:00:00"/>
    <x v="3"/>
    <x v="408"/>
    <x v="410"/>
    <n v="10"/>
    <x v="396"/>
    <x v="393"/>
    <x v="410"/>
    <x v="0"/>
  </r>
  <r>
    <d v="2020-05-27T00:00:00"/>
    <x v="4"/>
    <x v="409"/>
    <x v="411"/>
    <n v="20"/>
    <x v="370"/>
    <x v="394"/>
    <x v="411"/>
    <x v="0"/>
  </r>
  <r>
    <d v="2020-05-22T00:00:00"/>
    <x v="4"/>
    <x v="410"/>
    <x v="412"/>
    <n v="20"/>
    <x v="397"/>
    <x v="395"/>
    <x v="412"/>
    <x v="2"/>
  </r>
  <r>
    <d v="2020-06-01T00:00:00"/>
    <x v="4"/>
    <x v="411"/>
    <x v="413"/>
    <n v="20"/>
    <x v="398"/>
    <x v="396"/>
    <x v="413"/>
    <x v="5"/>
  </r>
  <r>
    <d v="2020-05-11T00:00:00"/>
    <x v="4"/>
    <x v="412"/>
    <x v="414"/>
    <n v="19"/>
    <x v="399"/>
    <x v="397"/>
    <x v="414"/>
    <x v="1"/>
  </r>
  <r>
    <d v="2020-05-18T00:00:00"/>
    <x v="4"/>
    <x v="413"/>
    <x v="415"/>
    <n v="19"/>
    <x v="400"/>
    <x v="398"/>
    <x v="415"/>
    <x v="2"/>
  </r>
  <r>
    <d v="2020-05-14T00:00:00"/>
    <x v="4"/>
    <x v="414"/>
    <x v="416"/>
    <n v="19"/>
    <x v="401"/>
    <x v="399"/>
    <x v="416"/>
    <x v="1"/>
  </r>
  <r>
    <d v="2020-05-15T00:00:00"/>
    <x v="4"/>
    <x v="415"/>
    <x v="417"/>
    <n v="19"/>
    <x v="402"/>
    <x v="400"/>
    <x v="417"/>
    <x v="1"/>
  </r>
  <r>
    <d v="2020-05-29T00:00:00"/>
    <x v="4"/>
    <x v="416"/>
    <x v="418"/>
    <n v="20"/>
    <x v="403"/>
    <x v="401"/>
    <x v="418"/>
    <x v="0"/>
  </r>
  <r>
    <d v="2020-05-27T00:00:00"/>
    <x v="5"/>
    <x v="417"/>
    <x v="419"/>
    <n v="129"/>
    <x v="404"/>
    <x v="402"/>
    <x v="419"/>
    <x v="0"/>
  </r>
  <r>
    <d v="2020-05-22T00:00:00"/>
    <x v="5"/>
    <x v="418"/>
    <x v="420"/>
    <n v="129"/>
    <x v="405"/>
    <x v="403"/>
    <x v="420"/>
    <x v="2"/>
  </r>
  <r>
    <d v="2020-06-01T00:00:00"/>
    <x v="5"/>
    <x v="419"/>
    <x v="421"/>
    <n v="128"/>
    <x v="406"/>
    <x v="404"/>
    <x v="421"/>
    <x v="5"/>
  </r>
  <r>
    <d v="2020-05-11T00:00:00"/>
    <x v="5"/>
    <x v="420"/>
    <x v="422"/>
    <n v="129"/>
    <x v="407"/>
    <x v="405"/>
    <x v="422"/>
    <x v="1"/>
  </r>
  <r>
    <d v="2020-05-18T00:00:00"/>
    <x v="5"/>
    <x v="421"/>
    <x v="423"/>
    <n v="129"/>
    <x v="408"/>
    <x v="406"/>
    <x v="423"/>
    <x v="2"/>
  </r>
  <r>
    <d v="2020-05-14T00:00:00"/>
    <x v="5"/>
    <x v="422"/>
    <x v="424"/>
    <n v="129"/>
    <x v="409"/>
    <x v="407"/>
    <x v="424"/>
    <x v="1"/>
  </r>
  <r>
    <d v="2020-05-15T00:00:00"/>
    <x v="5"/>
    <x v="423"/>
    <x v="425"/>
    <n v="129"/>
    <x v="410"/>
    <x v="408"/>
    <x v="425"/>
    <x v="1"/>
  </r>
  <r>
    <d v="2020-05-27T00:00:00"/>
    <x v="6"/>
    <x v="424"/>
    <x v="426"/>
    <n v="124"/>
    <x v="411"/>
    <x v="409"/>
    <x v="426"/>
    <x v="0"/>
  </r>
  <r>
    <d v="2020-05-22T00:00:00"/>
    <x v="6"/>
    <x v="425"/>
    <x v="427"/>
    <n v="125"/>
    <x v="412"/>
    <x v="410"/>
    <x v="427"/>
    <x v="2"/>
  </r>
  <r>
    <d v="2020-06-01T00:00:00"/>
    <x v="6"/>
    <x v="426"/>
    <x v="428"/>
    <n v="123"/>
    <x v="413"/>
    <x v="411"/>
    <x v="428"/>
    <x v="5"/>
  </r>
  <r>
    <d v="2020-05-11T00:00:00"/>
    <x v="6"/>
    <x v="427"/>
    <x v="429"/>
    <n v="125"/>
    <x v="414"/>
    <x v="412"/>
    <x v="429"/>
    <x v="1"/>
  </r>
  <r>
    <d v="2020-05-29T00:00:00"/>
    <x v="5"/>
    <x v="428"/>
    <x v="430"/>
    <n v="129"/>
    <x v="415"/>
    <x v="413"/>
    <x v="430"/>
    <x v="0"/>
  </r>
  <r>
    <d v="2020-05-18T00:00:00"/>
    <x v="6"/>
    <x v="429"/>
    <x v="431"/>
    <n v="125"/>
    <x v="416"/>
    <x v="414"/>
    <x v="431"/>
    <x v="2"/>
  </r>
  <r>
    <d v="2020-05-14T00:00:00"/>
    <x v="6"/>
    <x v="430"/>
    <x v="432"/>
    <n v="125"/>
    <x v="417"/>
    <x v="415"/>
    <x v="432"/>
    <x v="1"/>
  </r>
  <r>
    <d v="2020-05-15T00:00:00"/>
    <x v="6"/>
    <x v="431"/>
    <x v="433"/>
    <n v="125"/>
    <x v="418"/>
    <x v="416"/>
    <x v="433"/>
    <x v="1"/>
  </r>
  <r>
    <d v="2020-05-27T00:00:00"/>
    <x v="7"/>
    <x v="432"/>
    <x v="434"/>
    <n v="36"/>
    <x v="419"/>
    <x v="417"/>
    <x v="434"/>
    <x v="0"/>
  </r>
  <r>
    <d v="2020-05-22T00:00:00"/>
    <x v="7"/>
    <x v="433"/>
    <x v="435"/>
    <n v="36"/>
    <x v="420"/>
    <x v="418"/>
    <x v="435"/>
    <x v="2"/>
  </r>
  <r>
    <d v="2020-06-01T00:00:00"/>
    <x v="7"/>
    <x v="434"/>
    <x v="436"/>
    <n v="37"/>
    <x v="421"/>
    <x v="419"/>
    <x v="436"/>
    <x v="5"/>
  </r>
  <r>
    <d v="2020-05-11T00:00:00"/>
    <x v="7"/>
    <x v="435"/>
    <x v="437"/>
    <n v="36"/>
    <x v="422"/>
    <x v="420"/>
    <x v="437"/>
    <x v="1"/>
  </r>
  <r>
    <d v="2020-05-29T00:00:00"/>
    <x v="6"/>
    <x v="436"/>
    <x v="438"/>
    <n v="124"/>
    <x v="423"/>
    <x v="421"/>
    <x v="438"/>
    <x v="0"/>
  </r>
  <r>
    <d v="2020-05-18T00:00:00"/>
    <x v="7"/>
    <x v="437"/>
    <x v="439"/>
    <n v="36"/>
    <x v="424"/>
    <x v="422"/>
    <x v="439"/>
    <x v="2"/>
  </r>
  <r>
    <d v="2020-05-14T00:00:00"/>
    <x v="7"/>
    <x v="438"/>
    <x v="440"/>
    <n v="36"/>
    <x v="425"/>
    <x v="423"/>
    <x v="440"/>
    <x v="1"/>
  </r>
  <r>
    <d v="2020-05-15T00:00:00"/>
    <x v="7"/>
    <x v="439"/>
    <x v="441"/>
    <n v="36"/>
    <x v="426"/>
    <x v="424"/>
    <x v="441"/>
    <x v="1"/>
  </r>
  <r>
    <d v="2020-05-27T00:00:00"/>
    <x v="8"/>
    <x v="440"/>
    <x v="442"/>
    <n v="21"/>
    <x v="427"/>
    <x v="425"/>
    <x v="442"/>
    <x v="0"/>
  </r>
  <r>
    <d v="2020-05-22T00:00:00"/>
    <x v="8"/>
    <x v="441"/>
    <x v="443"/>
    <n v="21"/>
    <x v="428"/>
    <x v="426"/>
    <x v="443"/>
    <x v="2"/>
  </r>
  <r>
    <d v="2020-06-01T00:00:00"/>
    <x v="8"/>
    <x v="442"/>
    <x v="444"/>
    <n v="23"/>
    <x v="429"/>
    <x v="427"/>
    <x v="444"/>
    <x v="5"/>
  </r>
  <r>
    <d v="2020-05-11T00:00:00"/>
    <x v="8"/>
    <x v="443"/>
    <x v="445"/>
    <n v="21"/>
    <x v="430"/>
    <x v="428"/>
    <x v="445"/>
    <x v="1"/>
  </r>
  <r>
    <d v="2020-05-29T00:00:00"/>
    <x v="7"/>
    <x v="444"/>
    <x v="446"/>
    <n v="37"/>
    <x v="431"/>
    <x v="429"/>
    <x v="446"/>
    <x v="0"/>
  </r>
  <r>
    <d v="2020-05-18T00:00:00"/>
    <x v="8"/>
    <x v="445"/>
    <x v="447"/>
    <n v="21"/>
    <x v="398"/>
    <x v="3"/>
    <x v="447"/>
    <x v="2"/>
  </r>
  <r>
    <d v="2020-05-14T00:00:00"/>
    <x v="8"/>
    <x v="446"/>
    <x v="448"/>
    <n v="21"/>
    <x v="432"/>
    <x v="430"/>
    <x v="448"/>
    <x v="1"/>
  </r>
  <r>
    <d v="2020-05-15T00:00:00"/>
    <x v="8"/>
    <x v="447"/>
    <x v="449"/>
    <n v="21"/>
    <x v="433"/>
    <x v="431"/>
    <x v="449"/>
    <x v="1"/>
  </r>
  <r>
    <d v="2020-05-29T00:00:00"/>
    <x v="8"/>
    <x v="448"/>
    <x v="450"/>
    <n v="22"/>
    <x v="28"/>
    <x v="432"/>
    <x v="450"/>
    <x v="0"/>
  </r>
  <r>
    <d v="2020-05-27T00:00:00"/>
    <x v="9"/>
    <x v="449"/>
    <x v="451"/>
    <n v="17"/>
    <x v="434"/>
    <x v="433"/>
    <x v="451"/>
    <x v="0"/>
  </r>
  <r>
    <d v="2020-05-22T00:00:00"/>
    <x v="9"/>
    <x v="450"/>
    <x v="452"/>
    <n v="17"/>
    <x v="435"/>
    <x v="434"/>
    <x v="452"/>
    <x v="2"/>
  </r>
  <r>
    <d v="2020-06-01T00:00:00"/>
    <x v="9"/>
    <x v="451"/>
    <x v="453"/>
    <n v="17"/>
    <x v="436"/>
    <x v="435"/>
    <x v="453"/>
    <x v="5"/>
  </r>
  <r>
    <d v="2020-05-11T00:00:00"/>
    <x v="9"/>
    <x v="452"/>
    <x v="454"/>
    <n v="15"/>
    <x v="246"/>
    <x v="436"/>
    <x v="454"/>
    <x v="1"/>
  </r>
  <r>
    <d v="2020-05-18T00:00:00"/>
    <x v="9"/>
    <x v="453"/>
    <x v="455"/>
    <n v="16"/>
    <x v="437"/>
    <x v="437"/>
    <x v="455"/>
    <x v="2"/>
  </r>
  <r>
    <d v="2020-05-14T00:00:00"/>
    <x v="9"/>
    <x v="454"/>
    <x v="456"/>
    <n v="15"/>
    <x v="354"/>
    <x v="438"/>
    <x v="456"/>
    <x v="1"/>
  </r>
  <r>
    <d v="2020-05-15T00:00:00"/>
    <x v="9"/>
    <x v="455"/>
    <x v="457"/>
    <n v="15"/>
    <x v="438"/>
    <x v="439"/>
    <x v="457"/>
    <x v="1"/>
  </r>
  <r>
    <d v="2020-05-27T00:00:00"/>
    <x v="10"/>
    <x v="456"/>
    <x v="458"/>
    <n v="15"/>
    <x v="439"/>
    <x v="440"/>
    <x v="458"/>
    <x v="0"/>
  </r>
  <r>
    <d v="2020-05-22T00:00:00"/>
    <x v="10"/>
    <x v="457"/>
    <x v="459"/>
    <n v="15"/>
    <x v="440"/>
    <x v="441"/>
    <x v="459"/>
    <x v="2"/>
  </r>
  <r>
    <d v="2020-06-01T00:00:00"/>
    <x v="10"/>
    <x v="458"/>
    <x v="460"/>
    <n v="16"/>
    <x v="441"/>
    <x v="442"/>
    <x v="460"/>
    <x v="5"/>
  </r>
  <r>
    <d v="2020-05-11T00:00:00"/>
    <x v="10"/>
    <x v="459"/>
    <x v="461"/>
    <n v="15"/>
    <x v="442"/>
    <x v="443"/>
    <x v="461"/>
    <x v="1"/>
  </r>
  <r>
    <d v="2020-05-29T00:00:00"/>
    <x v="9"/>
    <x v="460"/>
    <x v="462"/>
    <n v="17"/>
    <x v="443"/>
    <x v="444"/>
    <x v="462"/>
    <x v="0"/>
  </r>
  <r>
    <d v="2020-05-18T00:00:00"/>
    <x v="10"/>
    <x v="461"/>
    <x v="463"/>
    <n v="15"/>
    <x v="444"/>
    <x v="445"/>
    <x v="463"/>
    <x v="2"/>
  </r>
  <r>
    <d v="2020-05-14T00:00:00"/>
    <x v="10"/>
    <x v="462"/>
    <x v="464"/>
    <n v="15"/>
    <x v="78"/>
    <x v="446"/>
    <x v="464"/>
    <x v="1"/>
  </r>
  <r>
    <d v="2020-05-15T00:00:00"/>
    <x v="10"/>
    <x v="463"/>
    <x v="465"/>
    <n v="15"/>
    <x v="445"/>
    <x v="447"/>
    <x v="465"/>
    <x v="1"/>
  </r>
  <r>
    <d v="2020-05-27T00:00:00"/>
    <x v="11"/>
    <x v="464"/>
    <x v="466"/>
    <n v="20"/>
    <x v="446"/>
    <x v="400"/>
    <x v="466"/>
    <x v="0"/>
  </r>
  <r>
    <d v="2020-05-22T00:00:00"/>
    <x v="11"/>
    <x v="465"/>
    <x v="467"/>
    <n v="19"/>
    <x v="447"/>
    <x v="448"/>
    <x v="467"/>
    <x v="2"/>
  </r>
  <r>
    <d v="2020-06-01T00:00:00"/>
    <x v="11"/>
    <x v="466"/>
    <x v="468"/>
    <n v="21"/>
    <x v="212"/>
    <x v="449"/>
    <x v="468"/>
    <x v="5"/>
  </r>
  <r>
    <d v="2020-05-11T00:00:00"/>
    <x v="11"/>
    <x v="467"/>
    <x v="469"/>
    <n v="19"/>
    <x v="448"/>
    <x v="450"/>
    <x v="469"/>
    <x v="1"/>
  </r>
  <r>
    <d v="2020-05-29T00:00:00"/>
    <x v="10"/>
    <x v="468"/>
    <x v="470"/>
    <n v="16"/>
    <x v="449"/>
    <x v="451"/>
    <x v="470"/>
    <x v="0"/>
  </r>
  <r>
    <d v="2020-05-18T00:00:00"/>
    <x v="11"/>
    <x v="469"/>
    <x v="471"/>
    <n v="19"/>
    <x v="450"/>
    <x v="452"/>
    <x v="471"/>
    <x v="2"/>
  </r>
  <r>
    <d v="2020-05-14T00:00:00"/>
    <x v="11"/>
    <x v="470"/>
    <x v="472"/>
    <n v="19"/>
    <x v="451"/>
    <x v="453"/>
    <x v="472"/>
    <x v="1"/>
  </r>
  <r>
    <d v="2020-05-15T00:00:00"/>
    <x v="11"/>
    <x v="471"/>
    <x v="473"/>
    <n v="19"/>
    <x v="452"/>
    <x v="454"/>
    <x v="473"/>
    <x v="1"/>
  </r>
  <r>
    <d v="2020-05-29T00:00:00"/>
    <x v="11"/>
    <x v="472"/>
    <x v="474"/>
    <n v="20"/>
    <x v="453"/>
    <x v="455"/>
    <x v="474"/>
    <x v="0"/>
  </r>
  <r>
    <d v="2020-05-27T00:00:00"/>
    <x v="12"/>
    <x v="473"/>
    <x v="475"/>
    <n v="59"/>
    <x v="454"/>
    <x v="456"/>
    <x v="475"/>
    <x v="0"/>
  </r>
  <r>
    <d v="2020-05-22T00:00:00"/>
    <x v="12"/>
    <x v="474"/>
    <x v="476"/>
    <n v="60"/>
    <x v="455"/>
    <x v="457"/>
    <x v="476"/>
    <x v="2"/>
  </r>
  <r>
    <d v="2020-06-01T00:00:00"/>
    <x v="12"/>
    <x v="475"/>
    <x v="477"/>
    <n v="59"/>
    <x v="456"/>
    <x v="458"/>
    <x v="477"/>
    <x v="5"/>
  </r>
  <r>
    <d v="2020-05-11T00:00:00"/>
    <x v="12"/>
    <x v="476"/>
    <x v="478"/>
    <n v="60"/>
    <x v="457"/>
    <x v="459"/>
    <x v="478"/>
    <x v="1"/>
  </r>
  <r>
    <d v="2020-05-18T00:00:00"/>
    <x v="12"/>
    <x v="477"/>
    <x v="479"/>
    <n v="60"/>
    <x v="458"/>
    <x v="460"/>
    <x v="479"/>
    <x v="2"/>
  </r>
  <r>
    <d v="2020-05-14T00:00:00"/>
    <x v="12"/>
    <x v="478"/>
    <x v="480"/>
    <n v="60"/>
    <x v="459"/>
    <x v="461"/>
    <x v="480"/>
    <x v="1"/>
  </r>
  <r>
    <d v="2020-05-15T00:00:00"/>
    <x v="12"/>
    <x v="479"/>
    <x v="481"/>
    <n v="60"/>
    <x v="460"/>
    <x v="462"/>
    <x v="481"/>
    <x v="1"/>
  </r>
  <r>
    <d v="2020-05-27T00:00:00"/>
    <x v="13"/>
    <x v="480"/>
    <x v="482"/>
    <n v="54"/>
    <x v="461"/>
    <x v="463"/>
    <x v="482"/>
    <x v="0"/>
  </r>
  <r>
    <d v="2020-05-22T00:00:00"/>
    <x v="13"/>
    <x v="481"/>
    <x v="483"/>
    <n v="54"/>
    <x v="462"/>
    <x v="464"/>
    <x v="483"/>
    <x v="2"/>
  </r>
  <r>
    <d v="2020-06-01T00:00:00"/>
    <x v="13"/>
    <x v="482"/>
    <x v="484"/>
    <n v="54"/>
    <x v="463"/>
    <x v="465"/>
    <x v="484"/>
    <x v="5"/>
  </r>
  <r>
    <d v="2020-05-11T00:00:00"/>
    <x v="13"/>
    <x v="483"/>
    <x v="485"/>
    <n v="54"/>
    <x v="464"/>
    <x v="466"/>
    <x v="485"/>
    <x v="1"/>
  </r>
  <r>
    <d v="2020-05-29T00:00:00"/>
    <x v="12"/>
    <x v="484"/>
    <x v="486"/>
    <n v="59"/>
    <x v="465"/>
    <x v="467"/>
    <x v="486"/>
    <x v="0"/>
  </r>
  <r>
    <d v="2020-05-18T00:00:00"/>
    <x v="13"/>
    <x v="485"/>
    <x v="487"/>
    <n v="54"/>
    <x v="466"/>
    <x v="468"/>
    <x v="487"/>
    <x v="2"/>
  </r>
  <r>
    <d v="2020-05-14T00:00:00"/>
    <x v="13"/>
    <x v="486"/>
    <x v="488"/>
    <n v="54"/>
    <x v="467"/>
    <x v="469"/>
    <x v="488"/>
    <x v="1"/>
  </r>
  <r>
    <d v="2020-05-15T00:00:00"/>
    <x v="13"/>
    <x v="487"/>
    <x v="489"/>
    <n v="54"/>
    <x v="468"/>
    <x v="470"/>
    <x v="489"/>
    <x v="1"/>
  </r>
  <r>
    <d v="2020-05-29T00:00:00"/>
    <x v="13"/>
    <x v="488"/>
    <x v="490"/>
    <n v="54"/>
    <x v="469"/>
    <x v="471"/>
    <x v="490"/>
    <x v="0"/>
  </r>
  <r>
    <d v="2020-05-27T00:00:00"/>
    <x v="15"/>
    <x v="489"/>
    <x v="491"/>
    <n v="7"/>
    <x v="470"/>
    <x v="366"/>
    <x v="491"/>
    <x v="0"/>
  </r>
  <r>
    <d v="2020-05-22T00:00:00"/>
    <x v="14"/>
    <x v="490"/>
    <x v="492"/>
    <n v="18"/>
    <x v="471"/>
    <x v="387"/>
    <x v="492"/>
    <x v="2"/>
  </r>
  <r>
    <d v="2020-06-01T00:00:00"/>
    <x v="16"/>
    <x v="491"/>
    <x v="493"/>
    <n v="9"/>
    <x v="247"/>
    <x v="472"/>
    <x v="493"/>
    <x v="5"/>
  </r>
  <r>
    <d v="2020-05-11T00:00:00"/>
    <x v="14"/>
    <x v="492"/>
    <x v="494"/>
    <n v="15"/>
    <x v="348"/>
    <x v="473"/>
    <x v="494"/>
    <x v="1"/>
  </r>
  <r>
    <d v="2020-05-18T00:00:00"/>
    <x v="14"/>
    <x v="493"/>
    <x v="495"/>
    <n v="16"/>
    <x v="472"/>
    <x v="474"/>
    <x v="495"/>
    <x v="2"/>
  </r>
  <r>
    <d v="2020-05-14T00:00:00"/>
    <x v="14"/>
    <x v="494"/>
    <x v="496"/>
    <n v="16"/>
    <x v="473"/>
    <x v="475"/>
    <x v="496"/>
    <x v="1"/>
  </r>
  <r>
    <d v="2020-05-15T00:00:00"/>
    <x v="14"/>
    <x v="495"/>
    <x v="497"/>
    <n v="16"/>
    <x v="474"/>
    <x v="476"/>
    <x v="497"/>
    <x v="1"/>
  </r>
  <r>
    <d v="2020-05-27T00:00:00"/>
    <x v="14"/>
    <x v="496"/>
    <x v="498"/>
    <n v="18"/>
    <x v="475"/>
    <x v="451"/>
    <x v="498"/>
    <x v="0"/>
  </r>
  <r>
    <d v="2020-06-01T00:00:00"/>
    <x v="17"/>
    <x v="497"/>
    <x v="499"/>
    <n v="6"/>
    <x v="476"/>
    <x v="477"/>
    <x v="499"/>
    <x v="5"/>
  </r>
  <r>
    <d v="2020-05-29T00:00:00"/>
    <x v="15"/>
    <x v="498"/>
    <x v="500"/>
    <n v="7"/>
    <x v="477"/>
    <x v="478"/>
    <x v="500"/>
    <x v="0"/>
  </r>
  <r>
    <d v="2020-06-01T00:00:00"/>
    <x v="15"/>
    <x v="499"/>
    <x v="501"/>
    <n v="7"/>
    <x v="478"/>
    <x v="479"/>
    <x v="501"/>
    <x v="5"/>
  </r>
  <r>
    <d v="2020-05-29T00:00:00"/>
    <x v="14"/>
    <x v="500"/>
    <x v="502"/>
    <n v="18"/>
    <x v="479"/>
    <x v="480"/>
    <x v="502"/>
    <x v="0"/>
  </r>
  <r>
    <d v="2020-06-01T00:00:00"/>
    <x v="14"/>
    <x v="501"/>
    <x v="503"/>
    <n v="18"/>
    <x v="480"/>
    <x v="481"/>
    <x v="503"/>
    <x v="5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  <r>
    <m/>
    <x v="18"/>
    <x v="502"/>
    <x v="504"/>
    <m/>
    <x v="481"/>
    <x v="482"/>
    <x v="50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5A3C5-AD94-4172-B12F-8F61862914A8}" name="Сводная таблица9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5" rowHeaderCaption="Территория" colHeaderCaption="Неделя">
  <location ref="B77:D84" firstHeaderRow="0" firstDataRow="1" firstDataCol="1"/>
  <pivotFields count="10">
    <pivotField showAll="0"/>
    <pivotField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</pivotField>
    <pivotField multipleItemSelectionAllowed="1" showAll="0">
      <items count="504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x="502"/>
        <item t="default"/>
      </items>
    </pivotField>
    <pivotField dataField="1" showAll="0"/>
    <pivotField showAll="0"/>
    <pivotField showAll="0">
      <items count="483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x="481"/>
        <item t="default"/>
      </items>
    </pivotField>
    <pivotField multipleItemSelectionAllowed="1" showAll="0">
      <items count="484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x="482"/>
        <item t="default"/>
      </items>
    </pivotField>
    <pivotField showAll="0"/>
    <pivotField axis="axisRow" showAll="0">
      <items count="8">
        <item x="4"/>
        <item x="3"/>
        <item x="1"/>
        <item x="2"/>
        <item x="0"/>
        <item x="5"/>
        <item h="1" x="6"/>
        <item t="default"/>
      </items>
    </pivotField>
    <pivotField dataField="1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Товарооборот, руб" fld="3" baseField="0" baseItem="0"/>
    <dataField name="Товарооборот на склад" fld="9" baseField="0" baseItem="0"/>
  </dataFields>
  <chartFormats count="4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4E80C-1D97-4474-9F72-86AD623DD0B9}" name="Сводная таблица7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Неделя">
  <location ref="E32:G52" firstHeaderRow="1" firstDataRow="2" firstDataCol="1"/>
  <pivotFields count="10">
    <pivotField showAll="0"/>
    <pivotField axis="axisRow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5"/>
            </reference>
          </references>
        </pivotArea>
      </autoSortScope>
    </pivotField>
    <pivotField multipleItemSelectionAllowed="1" showAll="0">
      <items count="504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x="502"/>
        <item t="default"/>
      </items>
    </pivotField>
    <pivotField showAll="0"/>
    <pivotField showAll="0"/>
    <pivotField showAll="0">
      <items count="483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x="481"/>
        <item t="default"/>
      </items>
    </pivotField>
    <pivotField multipleItemSelectionAllowed="1" showAll="0">
      <items count="484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x="482"/>
        <item t="default"/>
      </items>
    </pivotField>
    <pivotField dataField="1" showAll="0"/>
    <pivotField axis="axisCol" showAll="0">
      <items count="8">
        <item h="1" x="4"/>
        <item h="1" x="3"/>
        <item h="1" x="1"/>
        <item h="1" x="2"/>
        <item h="1" x="0"/>
        <item x="5"/>
        <item h="1" x="6"/>
        <item t="default"/>
      </items>
    </pivotField>
    <pivotField dragToRow="0" dragToCol="0" dragToPage="0" showAll="0" defaultSubtotal="0"/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Fields count="1">
    <field x="8"/>
  </colFields>
  <colItems count="2">
    <i>
      <x v="5"/>
    </i>
    <i t="grand">
      <x/>
    </i>
  </colItem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D32F7-0C8A-488E-955C-7F341E058B15}" name="Сводная таблица3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Неделя">
  <location ref="A32:C51" firstHeaderRow="0" firstDataRow="1" firstDataCol="1"/>
  <pivotFields count="10">
    <pivotField showAll="0"/>
    <pivotField axis="axisRow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multipleItemSelectionAllowed="1" showAll="0">
      <items count="504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x="502"/>
        <item t="default"/>
      </items>
    </pivotField>
    <pivotField dataField="1"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showAll="0"/>
    <pivotField showAll="0">
      <items count="483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x="481"/>
        <item t="default"/>
      </items>
    </pivotField>
    <pivotField multipleItemSelectionAllowed="1" showAll="0">
      <items count="484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x="482"/>
        <item t="default"/>
      </items>
    </pivotField>
    <pivotField showAll="0"/>
    <pivotField showAll="0">
      <items count="8">
        <item h="1" x="4"/>
        <item h="1" x="3"/>
        <item h="1" x="1"/>
        <item h="1" x="2"/>
        <item h="1" x="0"/>
        <item x="5"/>
        <item h="1" x="6"/>
        <item t="default"/>
      </items>
    </pivotField>
    <pivotField dragToRow="0" dragToCol="0" dragToPage="0" showAll="0" defaultSubtota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2" fld="3" showDataAs="percentOfTotal" baseField="0" baseItem="0" numFmtId="10"/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C91E1-5F10-470E-BF0A-DDCC2FEAC9A6}" name="Сводная таблица2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Неделя">
  <location ref="A5:H25" firstHeaderRow="1" firstDataRow="2" firstDataCol="1"/>
  <pivotFields count="10">
    <pivotField showAll="0"/>
    <pivotField axis="axisRow"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</pivotField>
    <pivotField multipleItemSelectionAllowed="1" showAll="0">
      <items count="504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x="502"/>
        <item t="default"/>
      </items>
    </pivotField>
    <pivotField dataField="1" showAll="0"/>
    <pivotField showAll="0"/>
    <pivotField showAll="0">
      <items count="483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x="481"/>
        <item t="default"/>
      </items>
    </pivotField>
    <pivotField multipleItemSelectionAllowed="1" showAll="0">
      <items count="484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x="482"/>
        <item t="default"/>
      </items>
    </pivotField>
    <pivotField showAll="0"/>
    <pivotField axis="axisCol" showAll="0">
      <items count="8">
        <item x="4"/>
        <item x="3"/>
        <item x="1"/>
        <item x="2"/>
        <item x="0"/>
        <item x="5"/>
        <item h="1" x="6"/>
        <item t="default"/>
      </items>
    </pivotField>
    <pivotField dragToRow="0" dragToCol="0" dragToPage="0" showAll="0" defaultSubtota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D3826-72A4-4783-B320-FB9BEFD8298E}" name="Сводная таблица29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5" rowHeaderCaption="Территория" colHeaderCaption="Неделя">
  <location ref="T23:V30" firstHeaderRow="0" firstDataRow="1" firstDataCol="1"/>
  <pivotFields count="10">
    <pivotField showAll="0"/>
    <pivotField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</pivotField>
    <pivotField multipleItemSelectionAllowed="1" showAll="0">
      <items count="504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x="502"/>
        <item t="default"/>
      </items>
    </pivotField>
    <pivotField dataField="1" showAll="0"/>
    <pivotField showAll="0"/>
    <pivotField showAll="0">
      <items count="483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x="481"/>
        <item t="default"/>
      </items>
    </pivotField>
    <pivotField multipleItemSelectionAllowed="1" showAll="0">
      <items count="484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x="482"/>
        <item t="default"/>
      </items>
    </pivotField>
    <pivotField showAll="0"/>
    <pivotField axis="axisRow" showAll="0">
      <items count="8">
        <item x="4"/>
        <item x="3"/>
        <item x="1"/>
        <item x="2"/>
        <item x="0"/>
        <item x="5"/>
        <item h="1" x="6"/>
        <item t="default"/>
      </items>
    </pivotField>
    <pivotField dataField="1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Товарооборот, руб" fld="3" baseField="0" baseItem="0"/>
    <dataField name="Товарооборот на склад" fld="9" baseField="0" baseItem="0"/>
  </dataFields>
  <chartFormats count="4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6A31C-5593-4E9D-B045-ABB5431E61CA}" name="Сводная таблица12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еделя" colHeaderCaption="Неделя">
  <location ref="M2:O9" firstHeaderRow="0" firstDataRow="1" firstDataCol="1"/>
  <pivotFields count="10">
    <pivotField showAll="0"/>
    <pivotField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</pivotField>
    <pivotField multipleItemSelectionAllowed="1" showAll="0">
      <items count="504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x="502"/>
        <item t="default"/>
      </items>
    </pivotField>
    <pivotField dataField="1" showAll="0"/>
    <pivotField dataField="1" showAll="0"/>
    <pivotField showAll="0">
      <items count="483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x="481"/>
        <item t="default"/>
      </items>
    </pivotField>
    <pivotField multipleItemSelectionAllowed="1" showAll="0">
      <items count="484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x="482"/>
        <item t="default"/>
      </items>
    </pivotField>
    <pivotField showAll="0"/>
    <pivotField axis="axisRow" showAll="0">
      <items count="8">
        <item x="4"/>
        <item x="3"/>
        <item x="1"/>
        <item x="2"/>
        <item x="0"/>
        <item x="5"/>
        <item h="1" x="6"/>
        <item t="default"/>
      </items>
    </pivotField>
    <pivotField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Количество складов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7EDD-1DB3-4B71-A29B-A4DA05B9457E}">
  <dimension ref="A2:H84"/>
  <sheetViews>
    <sheetView tabSelected="1" workbookViewId="0">
      <selection activeCell="I45" sqref="I45"/>
    </sheetView>
  </sheetViews>
  <sheetFormatPr defaultRowHeight="15" x14ac:dyDescent="0.25"/>
  <cols>
    <col min="1" max="1" width="34" bestFit="1" customWidth="1"/>
    <col min="2" max="2" width="14.140625" bestFit="1" customWidth="1"/>
    <col min="3" max="3" width="34.28515625" customWidth="1"/>
    <col min="4" max="4" width="22.7109375" bestFit="1" customWidth="1"/>
    <col min="5" max="5" width="54.85546875" customWidth="1"/>
    <col min="6" max="6" width="31.42578125" customWidth="1"/>
    <col min="7" max="7" width="39.140625" customWidth="1"/>
    <col min="8" max="8" width="12" bestFit="1" customWidth="1"/>
    <col min="9" max="9" width="35" bestFit="1" customWidth="1"/>
    <col min="10" max="10" width="34" bestFit="1" customWidth="1"/>
    <col min="11" max="11" width="35" bestFit="1" customWidth="1"/>
    <col min="12" max="12" width="34" bestFit="1" customWidth="1"/>
    <col min="13" max="13" width="35" bestFit="1" customWidth="1"/>
    <col min="14" max="14" width="38.7109375" bestFit="1" customWidth="1"/>
    <col min="15" max="15" width="39.7109375" bestFit="1" customWidth="1"/>
    <col min="16" max="16" width="11" bestFit="1" customWidth="1"/>
    <col min="17" max="18" width="9" bestFit="1" customWidth="1"/>
    <col min="19" max="19" width="11" bestFit="1" customWidth="1"/>
    <col min="20" max="20" width="9" bestFit="1" customWidth="1"/>
    <col min="21" max="21" width="8" bestFit="1" customWidth="1"/>
    <col min="22" max="22" width="11.7109375" bestFit="1" customWidth="1"/>
    <col min="23" max="23" width="12.28515625" bestFit="1" customWidth="1"/>
    <col min="24" max="24" width="11" bestFit="1" customWidth="1"/>
    <col min="25" max="27" width="9" bestFit="1" customWidth="1"/>
    <col min="28" max="28" width="10" bestFit="1" customWidth="1"/>
    <col min="29" max="29" width="15.140625" bestFit="1" customWidth="1"/>
    <col min="30" max="30" width="12.7109375" bestFit="1" customWidth="1"/>
    <col min="31" max="34" width="9" bestFit="1" customWidth="1"/>
    <col min="35" max="35" width="10" bestFit="1" customWidth="1"/>
    <col min="36" max="36" width="15.5703125" bestFit="1" customWidth="1"/>
    <col min="37" max="37" width="16.42578125" bestFit="1" customWidth="1"/>
    <col min="38" max="38" width="12" bestFit="1" customWidth="1"/>
    <col min="39" max="41" width="10" bestFit="1" customWidth="1"/>
    <col min="42" max="42" width="11" bestFit="1" customWidth="1"/>
    <col min="43" max="43" width="19.28515625" bestFit="1" customWidth="1"/>
    <col min="44" max="44" width="15.7109375" bestFit="1" customWidth="1"/>
    <col min="45" max="46" width="10" bestFit="1" customWidth="1"/>
    <col min="47" max="48" width="12" bestFit="1" customWidth="1"/>
    <col min="49" max="49" width="11" bestFit="1" customWidth="1"/>
    <col min="50" max="50" width="18.5703125" bestFit="1" customWidth="1"/>
    <col min="51" max="51" width="19.85546875" bestFit="1" customWidth="1"/>
    <col min="52" max="52" width="9" bestFit="1" customWidth="1"/>
    <col min="53" max="53" width="11" bestFit="1" customWidth="1"/>
    <col min="54" max="54" width="9" bestFit="1" customWidth="1"/>
    <col min="55" max="55" width="11" bestFit="1" customWidth="1"/>
    <col min="56" max="56" width="8" bestFit="1" customWidth="1"/>
    <col min="57" max="57" width="22.7109375" bestFit="1" customWidth="1"/>
    <col min="58" max="58" width="14.7109375" bestFit="1" customWidth="1"/>
    <col min="59" max="61" width="10" bestFit="1" customWidth="1"/>
    <col min="62" max="63" width="8" bestFit="1" customWidth="1"/>
    <col min="64" max="64" width="17.7109375" bestFit="1" customWidth="1"/>
    <col min="65" max="65" width="9" bestFit="1" customWidth="1"/>
    <col min="66" max="66" width="8" bestFit="1" customWidth="1"/>
    <col min="67" max="67" width="10" bestFit="1" customWidth="1"/>
    <col min="68" max="69" width="9" bestFit="1" customWidth="1"/>
    <col min="70" max="70" width="10" bestFit="1" customWidth="1"/>
    <col min="71" max="71" width="11.7109375" bestFit="1" customWidth="1"/>
    <col min="72" max="72" width="17.42578125" bestFit="1" customWidth="1"/>
    <col min="73" max="75" width="10" bestFit="1" customWidth="1"/>
    <col min="76" max="76" width="8" bestFit="1" customWidth="1"/>
    <col min="77" max="77" width="10" bestFit="1" customWidth="1"/>
    <col min="78" max="78" width="20.28515625" bestFit="1" customWidth="1"/>
    <col min="79" max="79" width="10" bestFit="1" customWidth="1"/>
    <col min="80" max="80" width="7" bestFit="1" customWidth="1"/>
    <col min="81" max="81" width="12.42578125" bestFit="1" customWidth="1"/>
    <col min="82" max="82" width="24.7109375" bestFit="1" customWidth="1"/>
    <col min="83" max="83" width="12" bestFit="1" customWidth="1"/>
    <col min="84" max="84" width="10" bestFit="1" customWidth="1"/>
    <col min="85" max="87" width="12" bestFit="1" customWidth="1"/>
    <col min="88" max="88" width="27.5703125" bestFit="1" customWidth="1"/>
    <col min="89" max="89" width="21.7109375" bestFit="1" customWidth="1"/>
    <col min="90" max="93" width="12" bestFit="1" customWidth="1"/>
    <col min="94" max="94" width="11" bestFit="1" customWidth="1"/>
    <col min="95" max="95" width="24.5703125" bestFit="1" customWidth="1"/>
    <col min="96" max="96" width="11" bestFit="1" customWidth="1"/>
    <col min="97" max="97" width="10" bestFit="1" customWidth="1"/>
    <col min="98" max="101" width="8" bestFit="1" customWidth="1"/>
    <col min="102" max="102" width="13.85546875" bestFit="1" customWidth="1"/>
    <col min="103" max="103" width="8.42578125" bestFit="1" customWidth="1"/>
    <col min="104" max="104" width="7" bestFit="1" customWidth="1"/>
    <col min="105" max="105" width="11.140625" bestFit="1" customWidth="1"/>
    <col min="106" max="106" width="10.28515625" bestFit="1" customWidth="1"/>
    <col min="107" max="107" width="9" bestFit="1" customWidth="1"/>
    <col min="108" max="108" width="13.140625" bestFit="1" customWidth="1"/>
    <col min="109" max="109" width="9" bestFit="1" customWidth="1"/>
    <col min="110" max="110" width="7" bestFit="1" customWidth="1"/>
    <col min="111" max="111" width="9.140625" bestFit="1" customWidth="1"/>
    <col min="112" max="112" width="11.85546875" bestFit="1" customWidth="1"/>
    <col min="113" max="114" width="8" bestFit="1" customWidth="1"/>
    <col min="115" max="115" width="10" bestFit="1" customWidth="1"/>
    <col min="116" max="117" width="8" bestFit="1" customWidth="1"/>
    <col min="118" max="119" width="10" bestFit="1" customWidth="1"/>
    <col min="120" max="120" width="8" bestFit="1" customWidth="1"/>
    <col min="121" max="123" width="10" bestFit="1" customWidth="1"/>
    <col min="124" max="129" width="8" bestFit="1" customWidth="1"/>
    <col min="130" max="132" width="10" bestFit="1" customWidth="1"/>
    <col min="133" max="134" width="8" bestFit="1" customWidth="1"/>
    <col min="135" max="141" width="10" bestFit="1" customWidth="1"/>
    <col min="142" max="143" width="8" bestFit="1" customWidth="1"/>
    <col min="144" max="144" width="10" bestFit="1" customWidth="1"/>
    <col min="145" max="145" width="8" bestFit="1" customWidth="1"/>
    <col min="146" max="147" width="10" bestFit="1" customWidth="1"/>
    <col min="148" max="148" width="8" bestFit="1" customWidth="1"/>
    <col min="149" max="149" width="10" bestFit="1" customWidth="1"/>
    <col min="150" max="151" width="8" bestFit="1" customWidth="1"/>
    <col min="152" max="152" width="10" bestFit="1" customWidth="1"/>
    <col min="153" max="154" width="11" bestFit="1" customWidth="1"/>
    <col min="155" max="155" width="9" bestFit="1" customWidth="1"/>
    <col min="156" max="158" width="11" bestFit="1" customWidth="1"/>
    <col min="159" max="159" width="9" bestFit="1" customWidth="1"/>
    <col min="160" max="161" width="11" bestFit="1" customWidth="1"/>
    <col min="162" max="162" width="9" bestFit="1" customWidth="1"/>
    <col min="163" max="163" width="11" bestFit="1" customWidth="1"/>
    <col min="164" max="165" width="9" bestFit="1" customWidth="1"/>
    <col min="166" max="166" width="11" bestFit="1" customWidth="1"/>
    <col min="167" max="167" width="9" bestFit="1" customWidth="1"/>
    <col min="168" max="169" width="12" bestFit="1" customWidth="1"/>
    <col min="170" max="170" width="9" bestFit="1" customWidth="1"/>
    <col min="171" max="171" width="12" bestFit="1" customWidth="1"/>
    <col min="172" max="177" width="9" bestFit="1" customWidth="1"/>
    <col min="178" max="178" width="11" bestFit="1" customWidth="1"/>
    <col min="179" max="179" width="9" bestFit="1" customWidth="1"/>
    <col min="180" max="180" width="11" bestFit="1" customWidth="1"/>
    <col min="181" max="181" width="12" bestFit="1" customWidth="1"/>
    <col min="182" max="187" width="9" bestFit="1" customWidth="1"/>
    <col min="188" max="188" width="7" bestFit="1" customWidth="1"/>
    <col min="189" max="189" width="9" bestFit="1" customWidth="1"/>
    <col min="190" max="190" width="7" bestFit="1" customWidth="1"/>
    <col min="191" max="191" width="8" bestFit="1" customWidth="1"/>
    <col min="192" max="194" width="10" bestFit="1" customWidth="1"/>
    <col min="195" max="195" width="8" bestFit="1" customWidth="1"/>
    <col min="196" max="197" width="10" bestFit="1" customWidth="1"/>
    <col min="198" max="199" width="8" bestFit="1" customWidth="1"/>
    <col min="200" max="200" width="10" bestFit="1" customWidth="1"/>
    <col min="201" max="203" width="8" bestFit="1" customWidth="1"/>
    <col min="204" max="209" width="10" bestFit="1" customWidth="1"/>
    <col min="210" max="210" width="8" bestFit="1" customWidth="1"/>
    <col min="211" max="211" width="10" bestFit="1" customWidth="1"/>
    <col min="212" max="212" width="8" bestFit="1" customWidth="1"/>
    <col min="213" max="215" width="10" bestFit="1" customWidth="1"/>
    <col min="216" max="216" width="8" bestFit="1" customWidth="1"/>
    <col min="217" max="217" width="10" bestFit="1" customWidth="1"/>
    <col min="218" max="221" width="8" bestFit="1" customWidth="1"/>
    <col min="222" max="226" width="10" bestFit="1" customWidth="1"/>
    <col min="227" max="228" width="8" bestFit="1" customWidth="1"/>
    <col min="229" max="230" width="10" bestFit="1" customWidth="1"/>
    <col min="231" max="231" width="8" bestFit="1" customWidth="1"/>
    <col min="232" max="232" width="10" bestFit="1" customWidth="1"/>
    <col min="233" max="233" width="8" bestFit="1" customWidth="1"/>
    <col min="234" max="234" width="10" bestFit="1" customWidth="1"/>
    <col min="235" max="236" width="8" bestFit="1" customWidth="1"/>
    <col min="237" max="239" width="10" bestFit="1" customWidth="1"/>
    <col min="240" max="241" width="8" bestFit="1" customWidth="1"/>
    <col min="242" max="242" width="10" bestFit="1" customWidth="1"/>
    <col min="243" max="243" width="8" bestFit="1" customWidth="1"/>
    <col min="244" max="244" width="10" bestFit="1" customWidth="1"/>
    <col min="245" max="245" width="8" bestFit="1" customWidth="1"/>
    <col min="246" max="248" width="10" bestFit="1" customWidth="1"/>
    <col min="249" max="249" width="8" bestFit="1" customWidth="1"/>
    <col min="250" max="250" width="10" bestFit="1" customWidth="1"/>
    <col min="251" max="254" width="9" bestFit="1" customWidth="1"/>
    <col min="255" max="256" width="11" bestFit="1" customWidth="1"/>
    <col min="257" max="257" width="9" bestFit="1" customWidth="1"/>
    <col min="258" max="259" width="11" bestFit="1" customWidth="1"/>
    <col min="260" max="260" width="9" bestFit="1" customWidth="1"/>
    <col min="261" max="262" width="11" bestFit="1" customWidth="1"/>
    <col min="263" max="263" width="9" bestFit="1" customWidth="1"/>
    <col min="264" max="264" width="12" bestFit="1" customWidth="1"/>
    <col min="265" max="265" width="9" bestFit="1" customWidth="1"/>
    <col min="266" max="267" width="11" bestFit="1" customWidth="1"/>
    <col min="268" max="272" width="9" bestFit="1" customWidth="1"/>
    <col min="273" max="273" width="11" bestFit="1" customWidth="1"/>
    <col min="274" max="274" width="9" bestFit="1" customWidth="1"/>
    <col min="275" max="275" width="11" bestFit="1" customWidth="1"/>
    <col min="276" max="278" width="9" bestFit="1" customWidth="1"/>
    <col min="279" max="279" width="12" bestFit="1" customWidth="1"/>
    <col min="280" max="280" width="7" bestFit="1" customWidth="1"/>
    <col min="281" max="282" width="9" bestFit="1" customWidth="1"/>
    <col min="283" max="283" width="7" bestFit="1" customWidth="1"/>
    <col min="284" max="284" width="10" bestFit="1" customWidth="1"/>
    <col min="285" max="285" width="8" bestFit="1" customWidth="1"/>
    <col min="286" max="286" width="10" bestFit="1" customWidth="1"/>
    <col min="287" max="288" width="8" bestFit="1" customWidth="1"/>
    <col min="289" max="291" width="10" bestFit="1" customWidth="1"/>
    <col min="292" max="293" width="8" bestFit="1" customWidth="1"/>
    <col min="294" max="298" width="10" bestFit="1" customWidth="1"/>
    <col min="299" max="299" width="8" bestFit="1" customWidth="1"/>
    <col min="300" max="300" width="10" bestFit="1" customWidth="1"/>
    <col min="301" max="302" width="8" bestFit="1" customWidth="1"/>
    <col min="303" max="304" width="10" bestFit="1" customWidth="1"/>
    <col min="305" max="306" width="8" bestFit="1" customWidth="1"/>
    <col min="307" max="308" width="10" bestFit="1" customWidth="1"/>
    <col min="309" max="312" width="8" bestFit="1" customWidth="1"/>
    <col min="313" max="313" width="10" bestFit="1" customWidth="1"/>
    <col min="314" max="315" width="8" bestFit="1" customWidth="1"/>
    <col min="316" max="316" width="10" bestFit="1" customWidth="1"/>
    <col min="317" max="318" width="8" bestFit="1" customWidth="1"/>
    <col min="319" max="323" width="10" bestFit="1" customWidth="1"/>
    <col min="324" max="324" width="8" bestFit="1" customWidth="1"/>
    <col min="325" max="328" width="10" bestFit="1" customWidth="1"/>
    <col min="329" max="329" width="8" bestFit="1" customWidth="1"/>
    <col min="330" max="331" width="10" bestFit="1" customWidth="1"/>
    <col min="332" max="336" width="8" bestFit="1" customWidth="1"/>
    <col min="337" max="338" width="10" bestFit="1" customWidth="1"/>
    <col min="339" max="341" width="8" bestFit="1" customWidth="1"/>
    <col min="342" max="342" width="10" bestFit="1" customWidth="1"/>
    <col min="343" max="344" width="8" bestFit="1" customWidth="1"/>
    <col min="345" max="345" width="10" bestFit="1" customWidth="1"/>
    <col min="346" max="348" width="8" bestFit="1" customWidth="1"/>
    <col min="349" max="350" width="9" bestFit="1" customWidth="1"/>
    <col min="351" max="351" width="11" bestFit="1" customWidth="1"/>
    <col min="352" max="352" width="9" bestFit="1" customWidth="1"/>
    <col min="353" max="356" width="11" bestFit="1" customWidth="1"/>
    <col min="357" max="359" width="9" bestFit="1" customWidth="1"/>
    <col min="360" max="360" width="11" bestFit="1" customWidth="1"/>
    <col min="361" max="361" width="12" bestFit="1" customWidth="1"/>
    <col min="362" max="366" width="9" bestFit="1" customWidth="1"/>
    <col min="367" max="367" width="12" bestFit="1" customWidth="1"/>
    <col min="368" max="368" width="11" bestFit="1" customWidth="1"/>
    <col min="369" max="369" width="12" bestFit="1" customWidth="1"/>
    <col min="370" max="371" width="9" bestFit="1" customWidth="1"/>
    <col min="372" max="372" width="12" bestFit="1" customWidth="1"/>
    <col min="373" max="374" width="11" bestFit="1" customWidth="1"/>
    <col min="375" max="376" width="9" bestFit="1" customWidth="1"/>
    <col min="377" max="377" width="12" bestFit="1" customWidth="1"/>
    <col min="378" max="378" width="9" bestFit="1" customWidth="1"/>
    <col min="379" max="381" width="7" bestFit="1" customWidth="1"/>
    <col min="382" max="383" width="9" bestFit="1" customWidth="1"/>
    <col min="384" max="385" width="7" bestFit="1" customWidth="1"/>
    <col min="386" max="389" width="9" bestFit="1" customWidth="1"/>
    <col min="390" max="390" width="7" bestFit="1" customWidth="1"/>
    <col min="391" max="392" width="8" bestFit="1" customWidth="1"/>
    <col min="393" max="394" width="10" bestFit="1" customWidth="1"/>
    <col min="395" max="400" width="8" bestFit="1" customWidth="1"/>
    <col min="401" max="403" width="10" bestFit="1" customWidth="1"/>
    <col min="404" max="405" width="8" bestFit="1" customWidth="1"/>
    <col min="406" max="406" width="10" bestFit="1" customWidth="1"/>
    <col min="407" max="408" width="8" bestFit="1" customWidth="1"/>
    <col min="409" max="409" width="10" bestFit="1" customWidth="1"/>
    <col min="410" max="410" width="8" bestFit="1" customWidth="1"/>
    <col min="411" max="415" width="10" bestFit="1" customWidth="1"/>
    <col min="416" max="418" width="8" bestFit="1" customWidth="1"/>
    <col min="419" max="420" width="10" bestFit="1" customWidth="1"/>
    <col min="421" max="422" width="8" bestFit="1" customWidth="1"/>
    <col min="423" max="423" width="10" bestFit="1" customWidth="1"/>
    <col min="424" max="425" width="8" bestFit="1" customWidth="1"/>
    <col min="426" max="426" width="10" bestFit="1" customWidth="1"/>
    <col min="427" max="427" width="8" bestFit="1" customWidth="1"/>
    <col min="428" max="429" width="10" bestFit="1" customWidth="1"/>
    <col min="430" max="430" width="8" bestFit="1" customWidth="1"/>
    <col min="431" max="431" width="10" bestFit="1" customWidth="1"/>
    <col min="432" max="435" width="8" bestFit="1" customWidth="1"/>
    <col min="436" max="436" width="10" bestFit="1" customWidth="1"/>
    <col min="437" max="438" width="8" bestFit="1" customWidth="1"/>
    <col min="439" max="443" width="10" bestFit="1" customWidth="1"/>
    <col min="444" max="444" width="8" bestFit="1" customWidth="1"/>
    <col min="445" max="445" width="10" bestFit="1" customWidth="1"/>
    <col min="446" max="448" width="8" bestFit="1" customWidth="1"/>
    <col min="449" max="452" width="10" bestFit="1" customWidth="1"/>
    <col min="453" max="454" width="8" bestFit="1" customWidth="1"/>
    <col min="455" max="457" width="10" bestFit="1" customWidth="1"/>
    <col min="458" max="458" width="9" bestFit="1" customWidth="1"/>
    <col min="459" max="466" width="11" bestFit="1" customWidth="1"/>
    <col min="467" max="467" width="9" bestFit="1" customWidth="1"/>
    <col min="468" max="468" width="11" bestFit="1" customWidth="1"/>
    <col min="469" max="469" width="9" bestFit="1" customWidth="1"/>
    <col min="470" max="472" width="11" bestFit="1" customWidth="1"/>
    <col min="473" max="473" width="12" bestFit="1" customWidth="1"/>
    <col min="474" max="474" width="11" bestFit="1" customWidth="1"/>
    <col min="475" max="476" width="9" bestFit="1" customWidth="1"/>
    <col min="477" max="477" width="11" bestFit="1" customWidth="1"/>
    <col min="478" max="478" width="9" bestFit="1" customWidth="1"/>
    <col min="479" max="481" width="11" bestFit="1" customWidth="1"/>
    <col min="482" max="482" width="9" bestFit="1" customWidth="1"/>
    <col min="483" max="483" width="12" bestFit="1" customWidth="1"/>
    <col min="484" max="485" width="9" bestFit="1" customWidth="1"/>
    <col min="486" max="486" width="12" bestFit="1" customWidth="1"/>
    <col min="487" max="489" width="7" bestFit="1" customWidth="1"/>
    <col min="490" max="490" width="9" bestFit="1" customWidth="1"/>
    <col min="491" max="492" width="8" bestFit="1" customWidth="1"/>
    <col min="493" max="496" width="10" bestFit="1" customWidth="1"/>
    <col min="497" max="499" width="8" bestFit="1" customWidth="1"/>
    <col min="500" max="500" width="10" bestFit="1" customWidth="1"/>
    <col min="501" max="503" width="11" bestFit="1" customWidth="1"/>
    <col min="504" max="506" width="12" bestFit="1" customWidth="1"/>
  </cols>
  <sheetData>
    <row r="2" spans="1:8" ht="15" customHeight="1" x14ac:dyDescent="0.25">
      <c r="B2" s="20" t="s">
        <v>34</v>
      </c>
      <c r="C2" s="20"/>
      <c r="D2" s="20"/>
      <c r="E2" s="20"/>
      <c r="F2" s="20"/>
      <c r="G2" s="20"/>
      <c r="H2" s="20"/>
    </row>
    <row r="3" spans="1:8" x14ac:dyDescent="0.25">
      <c r="B3" s="20"/>
      <c r="C3" s="20"/>
      <c r="D3" s="20"/>
      <c r="E3" s="20"/>
      <c r="F3" s="20"/>
      <c r="G3" s="20"/>
      <c r="H3" s="20"/>
    </row>
    <row r="5" spans="1:8" x14ac:dyDescent="0.25">
      <c r="A5" s="13" t="s">
        <v>28</v>
      </c>
      <c r="B5" s="13" t="s">
        <v>8</v>
      </c>
    </row>
    <row r="6" spans="1:8" x14ac:dyDescent="0.25">
      <c r="A6" s="13" t="s">
        <v>1</v>
      </c>
      <c r="B6">
        <v>18</v>
      </c>
      <c r="C6">
        <v>19</v>
      </c>
      <c r="D6">
        <v>20</v>
      </c>
      <c r="E6">
        <v>21</v>
      </c>
      <c r="F6">
        <v>22</v>
      </c>
      <c r="G6">
        <v>23</v>
      </c>
      <c r="H6" t="s">
        <v>27</v>
      </c>
    </row>
    <row r="7" spans="1:8" x14ac:dyDescent="0.25">
      <c r="A7" s="14" t="s">
        <v>16</v>
      </c>
      <c r="B7" s="15">
        <v>36934095</v>
      </c>
      <c r="C7" s="15">
        <v>43307155.5</v>
      </c>
      <c r="D7" s="15">
        <v>41300679</v>
      </c>
      <c r="E7" s="15">
        <v>44172813</v>
      </c>
      <c r="F7" s="15">
        <v>46485094.5</v>
      </c>
      <c r="G7" s="15">
        <v>5800290</v>
      </c>
      <c r="H7" s="15">
        <v>218000127</v>
      </c>
    </row>
    <row r="8" spans="1:8" x14ac:dyDescent="0.25">
      <c r="A8" s="14" t="s">
        <v>11</v>
      </c>
      <c r="B8" s="15">
        <v>42828757.5</v>
      </c>
      <c r="C8" s="15">
        <v>46366009.5</v>
      </c>
      <c r="D8" s="15">
        <v>47079841.5</v>
      </c>
      <c r="E8" s="15">
        <v>49575288</v>
      </c>
      <c r="F8" s="15">
        <v>50729185.5</v>
      </c>
      <c r="G8" s="15">
        <v>6829921.5</v>
      </c>
      <c r="H8" s="15">
        <v>243409003.5</v>
      </c>
    </row>
    <row r="9" spans="1:8" x14ac:dyDescent="0.25">
      <c r="A9" s="14" t="s">
        <v>17</v>
      </c>
      <c r="B9" s="15">
        <v>17828215.5</v>
      </c>
      <c r="C9" s="15">
        <v>20974521</v>
      </c>
      <c r="D9" s="15">
        <v>23603355</v>
      </c>
      <c r="E9" s="15">
        <v>26815804.5</v>
      </c>
      <c r="F9" s="15">
        <v>27495690</v>
      </c>
      <c r="G9" s="15">
        <v>3865251</v>
      </c>
      <c r="H9" s="15">
        <v>120582837</v>
      </c>
    </row>
    <row r="10" spans="1:8" x14ac:dyDescent="0.25">
      <c r="A10" s="14" t="s">
        <v>10</v>
      </c>
      <c r="B10" s="15">
        <v>16029679.5</v>
      </c>
      <c r="C10" s="15">
        <v>19479055.5</v>
      </c>
      <c r="D10" s="15">
        <v>19724733</v>
      </c>
      <c r="E10" s="15">
        <v>20915751</v>
      </c>
      <c r="F10" s="15">
        <v>22579281</v>
      </c>
      <c r="G10" s="15">
        <v>2945035.5</v>
      </c>
      <c r="H10" s="15">
        <v>101673535.5</v>
      </c>
    </row>
    <row r="11" spans="1:8" x14ac:dyDescent="0.25">
      <c r="A11" s="14" t="s">
        <v>20</v>
      </c>
      <c r="B11" s="15">
        <v>13955985</v>
      </c>
      <c r="C11" s="15">
        <v>16391856</v>
      </c>
      <c r="D11" s="15">
        <v>16732521</v>
      </c>
      <c r="E11" s="15">
        <v>17647479</v>
      </c>
      <c r="F11" s="15">
        <v>18595773</v>
      </c>
      <c r="G11" s="15">
        <v>2538967.5</v>
      </c>
      <c r="H11" s="15">
        <v>85862581.5</v>
      </c>
    </row>
    <row r="12" spans="1:8" x14ac:dyDescent="0.25">
      <c r="A12" s="14" t="s">
        <v>22</v>
      </c>
      <c r="B12" s="15">
        <v>130713645</v>
      </c>
      <c r="C12" s="15">
        <v>151642039.5</v>
      </c>
      <c r="D12" s="15">
        <v>135813990</v>
      </c>
      <c r="E12" s="15">
        <v>149589546</v>
      </c>
      <c r="F12" s="15">
        <v>151451013</v>
      </c>
      <c r="G12" s="15">
        <v>18914194.5</v>
      </c>
      <c r="H12" s="15">
        <v>738124428</v>
      </c>
    </row>
    <row r="13" spans="1:8" x14ac:dyDescent="0.25">
      <c r="A13" s="14" t="s">
        <v>21</v>
      </c>
      <c r="B13" s="15">
        <v>136791225</v>
      </c>
      <c r="C13" s="15">
        <v>159695760</v>
      </c>
      <c r="D13" s="15">
        <v>142825023</v>
      </c>
      <c r="E13" s="15">
        <v>157512358.5</v>
      </c>
      <c r="F13" s="15">
        <v>157857214.5</v>
      </c>
      <c r="G13" s="15">
        <v>19465372.5</v>
      </c>
      <c r="H13" s="15">
        <v>774146953.5</v>
      </c>
    </row>
    <row r="14" spans="1:8" x14ac:dyDescent="0.25">
      <c r="A14" s="14" t="s">
        <v>13</v>
      </c>
      <c r="B14" s="15">
        <v>13145965.5</v>
      </c>
      <c r="C14" s="15">
        <v>17149980</v>
      </c>
      <c r="D14" s="15">
        <v>19963153.5</v>
      </c>
      <c r="E14" s="15">
        <v>20713983</v>
      </c>
      <c r="F14" s="15">
        <v>21605704.5</v>
      </c>
      <c r="G14" s="15">
        <v>3013512</v>
      </c>
      <c r="H14" s="15">
        <v>95592298.5</v>
      </c>
    </row>
    <row r="15" spans="1:8" x14ac:dyDescent="0.25">
      <c r="A15" s="14" t="s">
        <v>23</v>
      </c>
      <c r="B15" s="15">
        <v>5746024.5</v>
      </c>
      <c r="C15" s="15">
        <v>7253572.5</v>
      </c>
      <c r="D15" s="15">
        <v>7841920.5</v>
      </c>
      <c r="E15" s="15">
        <v>8990269.5</v>
      </c>
      <c r="F15" s="15">
        <v>9909624</v>
      </c>
      <c r="G15" s="15">
        <v>1293219</v>
      </c>
      <c r="H15" s="15">
        <v>41034630</v>
      </c>
    </row>
    <row r="16" spans="1:8" x14ac:dyDescent="0.25">
      <c r="A16" s="14" t="s">
        <v>18</v>
      </c>
      <c r="B16" s="15">
        <v>6961020</v>
      </c>
      <c r="C16" s="15">
        <v>8778597</v>
      </c>
      <c r="D16" s="15">
        <v>9036316.5</v>
      </c>
      <c r="E16" s="15">
        <v>10598445</v>
      </c>
      <c r="F16" s="15">
        <v>11902053</v>
      </c>
      <c r="G16" s="15">
        <v>1526608.5</v>
      </c>
      <c r="H16" s="15">
        <v>48803040</v>
      </c>
    </row>
    <row r="17" spans="1:8" x14ac:dyDescent="0.25">
      <c r="A17" s="14" t="s">
        <v>19</v>
      </c>
      <c r="B17" s="15">
        <v>2008809</v>
      </c>
      <c r="C17" s="15">
        <v>5892277.5</v>
      </c>
      <c r="D17" s="15">
        <v>7382458.5</v>
      </c>
      <c r="E17" s="15">
        <v>8638525.5</v>
      </c>
      <c r="F17" s="15">
        <v>9328845</v>
      </c>
      <c r="G17" s="15">
        <v>1565632.5</v>
      </c>
      <c r="H17" s="15">
        <v>34816548</v>
      </c>
    </row>
    <row r="18" spans="1:8" x14ac:dyDescent="0.25">
      <c r="A18" s="14" t="s">
        <v>9</v>
      </c>
      <c r="B18" s="15"/>
      <c r="C18" s="15"/>
      <c r="D18" s="15"/>
      <c r="E18" s="15"/>
      <c r="F18" s="15">
        <v>2706253.5</v>
      </c>
      <c r="G18" s="15">
        <v>636345</v>
      </c>
      <c r="H18" s="15">
        <v>3342598.5</v>
      </c>
    </row>
    <row r="19" spans="1:8" x14ac:dyDescent="0.25">
      <c r="A19" s="14" t="s">
        <v>15</v>
      </c>
      <c r="B19" s="15">
        <v>233059077</v>
      </c>
      <c r="C19" s="15">
        <v>272762503.5</v>
      </c>
      <c r="D19" s="15">
        <v>269949999</v>
      </c>
      <c r="E19" s="15">
        <v>275539431.56999999</v>
      </c>
      <c r="F19" s="15">
        <v>292155049.5</v>
      </c>
      <c r="G19" s="15">
        <v>37257840.18135</v>
      </c>
      <c r="H19" s="15">
        <v>1380723900.7513499</v>
      </c>
    </row>
    <row r="20" spans="1:8" x14ac:dyDescent="0.25">
      <c r="A20" s="14" t="s">
        <v>14</v>
      </c>
      <c r="B20" s="15">
        <v>176269533</v>
      </c>
      <c r="C20" s="15">
        <v>208128393.85664999</v>
      </c>
      <c r="D20" s="15">
        <v>199569624.22395</v>
      </c>
      <c r="E20" s="15">
        <v>204608809.47659999</v>
      </c>
      <c r="F20" s="15">
        <v>219265928.75384998</v>
      </c>
      <c r="G20" s="15">
        <v>27770092.5</v>
      </c>
      <c r="H20" s="15">
        <v>1035612381.8110499</v>
      </c>
    </row>
    <row r="21" spans="1:8" x14ac:dyDescent="0.25">
      <c r="A21" s="14" t="s">
        <v>12</v>
      </c>
      <c r="B21" s="15">
        <v>4531000.5</v>
      </c>
      <c r="C21" s="15">
        <v>6093688.5</v>
      </c>
      <c r="D21" s="15">
        <v>6439392</v>
      </c>
      <c r="E21" s="15">
        <v>7373379</v>
      </c>
      <c r="F21" s="15">
        <v>7762362</v>
      </c>
      <c r="G21" s="15">
        <v>1007742</v>
      </c>
      <c r="H21" s="15">
        <v>33207564</v>
      </c>
    </row>
    <row r="22" spans="1:8" x14ac:dyDescent="0.25">
      <c r="A22" s="14" t="s">
        <v>25</v>
      </c>
      <c r="B22" s="15"/>
      <c r="C22" s="15"/>
      <c r="D22" s="15"/>
      <c r="E22" s="15"/>
      <c r="F22" s="15">
        <v>493893</v>
      </c>
      <c r="G22" s="15">
        <v>389013</v>
      </c>
      <c r="H22" s="15">
        <v>882906</v>
      </c>
    </row>
    <row r="23" spans="1:8" x14ac:dyDescent="0.25">
      <c r="A23" s="14" t="s">
        <v>24</v>
      </c>
      <c r="B23" s="15"/>
      <c r="C23" s="15"/>
      <c r="D23" s="15"/>
      <c r="E23" s="15"/>
      <c r="F23" s="15">
        <v>4861708.5</v>
      </c>
      <c r="G23" s="15">
        <v>802447.5</v>
      </c>
      <c r="H23" s="15">
        <v>5664156</v>
      </c>
    </row>
    <row r="24" spans="1:8" x14ac:dyDescent="0.25">
      <c r="A24" s="14" t="s">
        <v>26</v>
      </c>
      <c r="B24" s="15"/>
      <c r="C24" s="15"/>
      <c r="D24" s="15"/>
      <c r="E24" s="15"/>
      <c r="F24" s="15">
        <v>468835.5</v>
      </c>
      <c r="G24" s="15">
        <v>410892</v>
      </c>
      <c r="H24" s="15">
        <v>879727.5</v>
      </c>
    </row>
    <row r="25" spans="1:8" x14ac:dyDescent="0.25">
      <c r="A25" s="14" t="s">
        <v>27</v>
      </c>
      <c r="B25" s="15">
        <v>836803032</v>
      </c>
      <c r="C25" s="15">
        <v>983915409.85664999</v>
      </c>
      <c r="D25" s="15">
        <v>947263006.72395003</v>
      </c>
      <c r="E25" s="15">
        <v>1002691883.0465999</v>
      </c>
      <c r="F25" s="15">
        <v>1055653508.75385</v>
      </c>
      <c r="G25" s="15">
        <v>136032376.68134999</v>
      </c>
      <c r="H25" s="15">
        <v>4962359217.0623999</v>
      </c>
    </row>
    <row r="30" spans="1:8" ht="23.25" x14ac:dyDescent="0.35">
      <c r="A30" s="19" t="s">
        <v>32</v>
      </c>
      <c r="B30" s="18"/>
      <c r="C30" s="18"/>
      <c r="E30" s="19" t="s">
        <v>33</v>
      </c>
      <c r="F30" s="18"/>
      <c r="G30" s="18"/>
    </row>
    <row r="32" spans="1:8" x14ac:dyDescent="0.25">
      <c r="A32" s="13" t="s">
        <v>1</v>
      </c>
      <c r="B32" t="s">
        <v>31</v>
      </c>
      <c r="C32" t="s">
        <v>28</v>
      </c>
      <c r="E32" s="13" t="s">
        <v>29</v>
      </c>
      <c r="F32" s="13" t="s">
        <v>8</v>
      </c>
    </row>
    <row r="33" spans="1:7" x14ac:dyDescent="0.25">
      <c r="A33" s="14" t="s">
        <v>15</v>
      </c>
      <c r="B33" s="16">
        <v>0.27823940999755076</v>
      </c>
      <c r="C33" s="15">
        <v>1380723900.7513499</v>
      </c>
      <c r="E33" s="13" t="s">
        <v>1</v>
      </c>
      <c r="F33">
        <v>23</v>
      </c>
      <c r="G33" t="s">
        <v>27</v>
      </c>
    </row>
    <row r="34" spans="1:7" x14ac:dyDescent="0.25">
      <c r="A34" s="14" t="s">
        <v>14</v>
      </c>
      <c r="B34" s="16">
        <v>0.20869355411640439</v>
      </c>
      <c r="C34" s="15">
        <v>1035612381.8110501</v>
      </c>
      <c r="E34" s="14" t="s">
        <v>22</v>
      </c>
      <c r="F34" s="15">
        <v>350262.86111111112</v>
      </c>
      <c r="G34" s="15">
        <v>350262.86111111112</v>
      </c>
    </row>
    <row r="35" spans="1:7" x14ac:dyDescent="0.25">
      <c r="A35" s="14" t="s">
        <v>21</v>
      </c>
      <c r="B35" s="16">
        <v>0.15600381182365852</v>
      </c>
      <c r="C35" s="15">
        <v>774146953.5</v>
      </c>
      <c r="E35" s="14" t="s">
        <v>21</v>
      </c>
      <c r="F35" s="15">
        <v>329921.56779661018</v>
      </c>
      <c r="G35" s="15">
        <v>329921.56779661018</v>
      </c>
    </row>
    <row r="36" spans="1:7" x14ac:dyDescent="0.25">
      <c r="A36" s="14" t="s">
        <v>22</v>
      </c>
      <c r="B36" s="16">
        <v>0.1487446586821162</v>
      </c>
      <c r="C36" s="15">
        <v>738124428</v>
      </c>
      <c r="E36" s="14" t="s">
        <v>15</v>
      </c>
      <c r="F36" s="15">
        <v>302909.26976707316</v>
      </c>
      <c r="G36" s="15">
        <v>302909.26976707316</v>
      </c>
    </row>
    <row r="37" spans="1:7" x14ac:dyDescent="0.25">
      <c r="A37" s="14" t="s">
        <v>11</v>
      </c>
      <c r="B37" s="16">
        <v>4.9051064796573195E-2</v>
      </c>
      <c r="C37" s="15">
        <v>243409003.5</v>
      </c>
      <c r="E37" s="14" t="s">
        <v>11</v>
      </c>
      <c r="F37" s="15">
        <v>220320.04838709679</v>
      </c>
      <c r="G37" s="15">
        <v>220320.04838709679</v>
      </c>
    </row>
    <row r="38" spans="1:7" x14ac:dyDescent="0.25">
      <c r="A38" s="14" t="s">
        <v>16</v>
      </c>
      <c r="B38" s="16">
        <v>4.3930742911644949E-2</v>
      </c>
      <c r="C38" s="15">
        <v>218000127</v>
      </c>
      <c r="E38" s="14" t="s">
        <v>14</v>
      </c>
      <c r="F38" s="15">
        <v>216953.84765625</v>
      </c>
      <c r="G38" s="15">
        <v>216953.84765625</v>
      </c>
    </row>
    <row r="39" spans="1:7" x14ac:dyDescent="0.25">
      <c r="A39" s="14" t="s">
        <v>17</v>
      </c>
      <c r="B39" s="16">
        <v>2.4299497824621857E-2</v>
      </c>
      <c r="C39" s="15">
        <v>120582837</v>
      </c>
      <c r="E39" s="14" t="s">
        <v>17</v>
      </c>
      <c r="F39" s="15">
        <v>168054.39130434784</v>
      </c>
      <c r="G39" s="15">
        <v>168054.39130434784</v>
      </c>
    </row>
    <row r="40" spans="1:7" x14ac:dyDescent="0.25">
      <c r="A40" s="14" t="s">
        <v>10</v>
      </c>
      <c r="B40" s="16">
        <v>2.0488951132439048E-2</v>
      </c>
      <c r="C40" s="15">
        <v>101673535.5</v>
      </c>
      <c r="E40" s="14" t="s">
        <v>16</v>
      </c>
      <c r="F40" s="15">
        <v>156764.59459459459</v>
      </c>
      <c r="G40" s="15">
        <v>156764.59459459459</v>
      </c>
    </row>
    <row r="41" spans="1:7" x14ac:dyDescent="0.25">
      <c r="A41" s="14" t="s">
        <v>13</v>
      </c>
      <c r="B41" s="16">
        <v>1.9263478180160522E-2</v>
      </c>
      <c r="C41" s="15">
        <v>95592298.5</v>
      </c>
      <c r="E41" s="14" t="s">
        <v>13</v>
      </c>
      <c r="F41" s="15">
        <v>150675.6</v>
      </c>
      <c r="G41" s="15">
        <v>150675.6</v>
      </c>
    </row>
    <row r="42" spans="1:7" x14ac:dyDescent="0.25">
      <c r="A42" s="14" t="s">
        <v>20</v>
      </c>
      <c r="B42" s="16">
        <v>1.7302774294285901E-2</v>
      </c>
      <c r="C42" s="15">
        <v>85862581.5</v>
      </c>
      <c r="E42" s="14" t="s">
        <v>10</v>
      </c>
      <c r="F42" s="15">
        <v>140239.78571428571</v>
      </c>
      <c r="G42" s="15">
        <v>140239.78571428571</v>
      </c>
    </row>
    <row r="43" spans="1:7" x14ac:dyDescent="0.25">
      <c r="A43" s="14" t="s">
        <v>18</v>
      </c>
      <c r="B43" s="16">
        <v>9.8346447456277158E-3</v>
      </c>
      <c r="C43" s="15">
        <v>48803040</v>
      </c>
      <c r="E43" s="14" t="s">
        <v>20</v>
      </c>
      <c r="F43" s="15">
        <v>120903.21428571429</v>
      </c>
      <c r="G43" s="15">
        <v>120903.21428571429</v>
      </c>
    </row>
    <row r="44" spans="1:7" x14ac:dyDescent="0.25">
      <c r="A44" s="14" t="s">
        <v>23</v>
      </c>
      <c r="B44" s="16">
        <v>8.2691776643069263E-3</v>
      </c>
      <c r="C44" s="15">
        <v>41034630</v>
      </c>
      <c r="E44" s="14" t="s">
        <v>24</v>
      </c>
      <c r="F44" s="15">
        <v>114635.35714285714</v>
      </c>
      <c r="G44" s="15">
        <v>114635.35714285714</v>
      </c>
    </row>
    <row r="45" spans="1:7" x14ac:dyDescent="0.25">
      <c r="A45" s="14" t="s">
        <v>19</v>
      </c>
      <c r="B45" s="16">
        <v>7.016128111058147E-3</v>
      </c>
      <c r="C45" s="15">
        <v>34816548</v>
      </c>
      <c r="E45" s="14" t="s">
        <v>12</v>
      </c>
      <c r="F45" s="15">
        <v>100774.2</v>
      </c>
      <c r="G45" s="15">
        <v>100774.2</v>
      </c>
    </row>
    <row r="46" spans="1:7" x14ac:dyDescent="0.25">
      <c r="A46" s="14" t="s">
        <v>12</v>
      </c>
      <c r="B46" s="16">
        <v>6.6918903987886027E-3</v>
      </c>
      <c r="C46" s="15">
        <v>33207564</v>
      </c>
      <c r="E46" s="14" t="s">
        <v>19</v>
      </c>
      <c r="F46" s="15">
        <v>97852.03125</v>
      </c>
      <c r="G46" s="15">
        <v>97852.03125</v>
      </c>
    </row>
    <row r="47" spans="1:7" x14ac:dyDescent="0.25">
      <c r="A47" s="14" t="s">
        <v>24</v>
      </c>
      <c r="B47" s="16">
        <v>1.1414240187458753E-3</v>
      </c>
      <c r="C47" s="15">
        <v>5664156</v>
      </c>
      <c r="E47" s="14" t="s">
        <v>18</v>
      </c>
      <c r="F47" s="15">
        <v>89800.5</v>
      </c>
      <c r="G47" s="15">
        <v>89800.5</v>
      </c>
    </row>
    <row r="48" spans="1:7" x14ac:dyDescent="0.25">
      <c r="A48" s="14" t="s">
        <v>9</v>
      </c>
      <c r="B48" s="16">
        <v>6.735905954786441E-4</v>
      </c>
      <c r="C48" s="15">
        <v>3342598.5</v>
      </c>
      <c r="E48" s="14" t="s">
        <v>23</v>
      </c>
      <c r="F48" s="15">
        <v>71845.5</v>
      </c>
      <c r="G48" s="15">
        <v>71845.5</v>
      </c>
    </row>
    <row r="49" spans="1:7" x14ac:dyDescent="0.25">
      <c r="A49" s="14" t="s">
        <v>25</v>
      </c>
      <c r="B49" s="16">
        <v>1.779206142441779E-4</v>
      </c>
      <c r="C49" s="15">
        <v>882906</v>
      </c>
      <c r="E49" s="14" t="s">
        <v>26</v>
      </c>
      <c r="F49" s="15">
        <v>68482</v>
      </c>
      <c r="G49" s="15">
        <v>68482</v>
      </c>
    </row>
    <row r="50" spans="1:7" x14ac:dyDescent="0.25">
      <c r="A50" s="14" t="s">
        <v>26</v>
      </c>
      <c r="B50" s="16">
        <v>1.7728009229464408E-4</v>
      </c>
      <c r="C50" s="15">
        <v>879727.5</v>
      </c>
      <c r="E50" s="14" t="s">
        <v>25</v>
      </c>
      <c r="F50" s="15">
        <v>43223.666666666664</v>
      </c>
      <c r="G50" s="15">
        <v>43223.666666666664</v>
      </c>
    </row>
    <row r="51" spans="1:7" x14ac:dyDescent="0.25">
      <c r="A51" s="14" t="s">
        <v>27</v>
      </c>
      <c r="B51" s="16">
        <v>1</v>
      </c>
      <c r="C51" s="15">
        <v>4962359217.0623999</v>
      </c>
      <c r="E51" s="14" t="s">
        <v>9</v>
      </c>
      <c r="F51" s="15">
        <v>42423</v>
      </c>
      <c r="G51" s="15">
        <v>42423</v>
      </c>
    </row>
    <row r="52" spans="1:7" x14ac:dyDescent="0.25">
      <c r="E52" s="14" t="s">
        <v>27</v>
      </c>
      <c r="F52" s="15">
        <v>2786041.4356766078</v>
      </c>
      <c r="G52" s="15">
        <v>2786041.4356766078</v>
      </c>
    </row>
    <row r="77" spans="2:4" x14ac:dyDescent="0.25">
      <c r="B77" s="13" t="s">
        <v>1</v>
      </c>
      <c r="C77" t="s">
        <v>35</v>
      </c>
      <c r="D77" t="s">
        <v>7</v>
      </c>
    </row>
    <row r="78" spans="2:4" x14ac:dyDescent="0.25">
      <c r="B78" s="14">
        <v>18</v>
      </c>
      <c r="C78" s="15">
        <v>836803032</v>
      </c>
      <c r="D78" s="15">
        <v>249494.04651162791</v>
      </c>
    </row>
    <row r="79" spans="2:4" x14ac:dyDescent="0.25">
      <c r="B79" s="14">
        <v>19</v>
      </c>
      <c r="C79" s="15">
        <v>983915409.85664999</v>
      </c>
      <c r="D79" s="15">
        <v>247401.41057496856</v>
      </c>
    </row>
    <row r="80" spans="2:4" x14ac:dyDescent="0.25">
      <c r="B80" s="14">
        <v>20</v>
      </c>
      <c r="C80" s="15">
        <v>947263006.72395003</v>
      </c>
      <c r="D80" s="15">
        <v>237171.50894440411</v>
      </c>
    </row>
    <row r="81" spans="2:4" x14ac:dyDescent="0.25">
      <c r="B81" s="14">
        <v>21</v>
      </c>
      <c r="C81" s="15">
        <v>1002691883.0466</v>
      </c>
      <c r="D81" s="15">
        <v>249425.8415538806</v>
      </c>
    </row>
    <row r="82" spans="2:4" x14ac:dyDescent="0.25">
      <c r="B82" s="14">
        <v>22</v>
      </c>
      <c r="C82" s="15">
        <v>1055653508.75385</v>
      </c>
      <c r="D82" s="15">
        <v>254313.05920352926</v>
      </c>
    </row>
    <row r="83" spans="2:4" x14ac:dyDescent="0.25">
      <c r="B83" s="14">
        <v>23</v>
      </c>
      <c r="C83" s="15">
        <v>136032376.68134999</v>
      </c>
      <c r="D83" s="15">
        <v>221190.85639243902</v>
      </c>
    </row>
    <row r="84" spans="2:4" x14ac:dyDescent="0.25">
      <c r="B84" s="14" t="s">
        <v>27</v>
      </c>
      <c r="C84" s="15">
        <v>4962359217.0623999</v>
      </c>
      <c r="D84" s="15">
        <v>246748.50664126096</v>
      </c>
    </row>
  </sheetData>
  <mergeCells count="3">
    <mergeCell ref="A30:C30"/>
    <mergeCell ref="E30:G30"/>
    <mergeCell ref="B2:H3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C1" workbookViewId="0">
      <selection activeCell="F2" sqref="F2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12" width="8.7109375" customWidth="1"/>
    <col min="13" max="13" width="11.85546875" bestFit="1" customWidth="1"/>
    <col min="14" max="14" width="34" bestFit="1" customWidth="1"/>
    <col min="15" max="15" width="35.140625" bestFit="1" customWidth="1"/>
    <col min="16" max="19" width="8.7109375" customWidth="1"/>
    <col min="20" max="20" width="20.140625" customWidth="1"/>
    <col min="21" max="21" width="21.140625" customWidth="1"/>
    <col min="22" max="22" width="28.42578125" customWidth="1"/>
    <col min="23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>
        <f>SUMIFS(Лист2!$C:$C,Лист2!$A:$A,A2,Лист2!$B:$B,B2)</f>
        <v>15</v>
      </c>
      <c r="F2">
        <f>SUMIFS(Лист2!$D:$D,Лист2!$A:$A,A2,Лист2!$B:$B,B2)</f>
        <v>441</v>
      </c>
      <c r="G2">
        <f>SUMIFS(Лист2!$E:$E,Лист2!$A:$A,A2,Лист2!$B:$B,B2)</f>
        <v>368</v>
      </c>
      <c r="H2">
        <f>D2/E2</f>
        <v>41598.1</v>
      </c>
      <c r="I2">
        <f>WEEKNUM(A2,2)</f>
        <v>22</v>
      </c>
      <c r="M2" s="13" t="s">
        <v>8</v>
      </c>
      <c r="N2" t="s">
        <v>28</v>
      </c>
      <c r="O2" t="s">
        <v>30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>
        <f>SUMIFS(Лист2!$C:$C,Лист2!$A:$A,A3,Лист2!$B:$B,B3)</f>
        <v>15</v>
      </c>
      <c r="F3">
        <f>SUMIFS(Лист2!$D:$D,Лист2!$A:$A,A3,Лист2!$B:$B,B3)</f>
        <v>490</v>
      </c>
      <c r="G3">
        <f>SUMIFS(Лист2!$E:$E,Лист2!$A:$A,A3,Лист2!$B:$B,B3)</f>
        <v>409</v>
      </c>
      <c r="H3">
        <f>D3/E3</f>
        <v>52473.4</v>
      </c>
      <c r="I3">
        <f>WEEKNUM(A3,2)</f>
        <v>22</v>
      </c>
      <c r="M3" s="14">
        <v>18</v>
      </c>
      <c r="N3" s="15">
        <v>836803032</v>
      </c>
      <c r="O3" s="15">
        <v>3354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>
        <f>SUMIFS(Лист2!$C:$C,Лист2!$A:$A,A4,Лист2!$B:$B,B4)</f>
        <v>15</v>
      </c>
      <c r="F4">
        <f>SUMIFS(Лист2!$D:$D,Лист2!$A:$A,A4,Лист2!$B:$B,B4)</f>
        <v>464</v>
      </c>
      <c r="G4">
        <f>SUMIFS(Лист2!$E:$E,Лист2!$A:$A,A4,Лист2!$B:$B,B4)</f>
        <v>390</v>
      </c>
      <c r="H4">
        <f>D4/E4</f>
        <v>42929.599999999999</v>
      </c>
      <c r="I4">
        <f>WEEKNUM(A4,2)</f>
        <v>22</v>
      </c>
      <c r="M4" s="14">
        <v>19</v>
      </c>
      <c r="N4" s="15">
        <v>983915409.85664999</v>
      </c>
      <c r="O4" s="15">
        <v>3977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>
        <f>SUMIFS(Лист2!$C:$C,Лист2!$A:$A,A5,Лист2!$B:$B,B5)</f>
        <v>21</v>
      </c>
      <c r="F5">
        <f>SUMIFS(Лист2!$D:$D,Лист2!$A:$A,A5,Лист2!$B:$B,B5)</f>
        <v>2145</v>
      </c>
      <c r="G5">
        <f>SUMIFS(Лист2!$E:$E,Лист2!$A:$A,A5,Лист2!$B:$B,B5)</f>
        <v>1947</v>
      </c>
      <c r="H5">
        <f>D5/E5</f>
        <v>161709.14285714287</v>
      </c>
      <c r="I5">
        <f>WEEKNUM(A5,2)</f>
        <v>20</v>
      </c>
      <c r="M5" s="14">
        <v>20</v>
      </c>
      <c r="N5" s="15">
        <v>947263006.72395003</v>
      </c>
      <c r="O5" s="15">
        <v>3994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>
        <f>SUMIFS(Лист2!$C:$C,Лист2!$A:$A,A6,Лист2!$B:$B,B6)</f>
        <v>21</v>
      </c>
      <c r="F6">
        <f>SUMIFS(Лист2!$D:$D,Лист2!$A:$A,A6,Лист2!$B:$B,B6)</f>
        <v>1860</v>
      </c>
      <c r="G6">
        <f>SUMIFS(Лист2!$E:$E,Лист2!$A:$A,A6,Лист2!$B:$B,B6)</f>
        <v>1704</v>
      </c>
      <c r="H6">
        <f>D6/E6</f>
        <v>131957.92857142858</v>
      </c>
      <c r="I6">
        <f>WEEKNUM(A6,2)</f>
        <v>21</v>
      </c>
      <c r="M6" s="14">
        <v>21</v>
      </c>
      <c r="N6" s="15">
        <v>1002691883.0466</v>
      </c>
      <c r="O6" s="15">
        <v>4020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>
        <f>SUMIFS(Лист2!$C:$C,Лист2!$A:$A,A7,Лист2!$B:$B,B7)</f>
        <v>21</v>
      </c>
      <c r="F7">
        <f>SUMIFS(Лист2!$D:$D,Лист2!$A:$A,A7,Лист2!$B:$B,B7)</f>
        <v>1874</v>
      </c>
      <c r="G7">
        <f>SUMIFS(Лист2!$E:$E,Лист2!$A:$A,A7,Лист2!$B:$B,B7)</f>
        <v>1705</v>
      </c>
      <c r="H7">
        <f>D7/E7</f>
        <v>137259.92857142858</v>
      </c>
      <c r="I7">
        <f>WEEKNUM(A7,2)</f>
        <v>20</v>
      </c>
      <c r="M7" s="14">
        <v>22</v>
      </c>
      <c r="N7" s="15">
        <v>1055653508.75385</v>
      </c>
      <c r="O7" s="15">
        <v>4151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>
        <f>SUMIFS(Лист2!$C:$C,Лист2!$A:$A,A8,Лист2!$B:$B,B8)</f>
        <v>21</v>
      </c>
      <c r="F8">
        <f>SUMIFS(Лист2!$D:$D,Лист2!$A:$A,A8,Лист2!$B:$B,B8)</f>
        <v>1735</v>
      </c>
      <c r="G8">
        <f>SUMIFS(Лист2!$E:$E,Лист2!$A:$A,A8,Лист2!$B:$B,B8)</f>
        <v>1568</v>
      </c>
      <c r="H8">
        <f>D8/E8</f>
        <v>134810.42857142858</v>
      </c>
      <c r="I8">
        <f>WEEKNUM(A8,2)</f>
        <v>19</v>
      </c>
      <c r="M8" s="14">
        <v>23</v>
      </c>
      <c r="N8" s="15">
        <v>136032376.68134999</v>
      </c>
      <c r="O8" s="15">
        <v>615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>
        <f>SUMIFS(Лист2!$C:$C,Лист2!$A:$A,A9,Лист2!$B:$B,B9)</f>
        <v>20</v>
      </c>
      <c r="F9">
        <f>SUMIFS(Лист2!$D:$D,Лист2!$A:$A,A9,Лист2!$B:$B,B9)</f>
        <v>1519</v>
      </c>
      <c r="G9">
        <f>SUMIFS(Лист2!$E:$E,Лист2!$A:$A,A9,Лист2!$B:$B,B9)</f>
        <v>1372</v>
      </c>
      <c r="H9">
        <f>D9/E9</f>
        <v>118615.5</v>
      </c>
      <c r="I9">
        <f>WEEKNUM(A9,2)</f>
        <v>19</v>
      </c>
      <c r="M9" s="14" t="s">
        <v>27</v>
      </c>
      <c r="N9" s="15">
        <v>4962359217.0623999</v>
      </c>
      <c r="O9" s="15">
        <v>20111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>
        <f>SUMIFS(Лист2!$C:$C,Лист2!$A:$A,A10,Лист2!$B:$B,B10)</f>
        <v>18</v>
      </c>
      <c r="F10">
        <f>SUMIFS(Лист2!$D:$D,Лист2!$A:$A,A10,Лист2!$B:$B,B10)</f>
        <v>1684</v>
      </c>
      <c r="G10">
        <f>SUMIFS(Лист2!$E:$E,Лист2!$A:$A,A10,Лист2!$B:$B,B10)</f>
        <v>1528</v>
      </c>
      <c r="H10">
        <f>D10/E10</f>
        <v>145748.91666666666</v>
      </c>
      <c r="I10">
        <f>WEEKNUM(A10,2)</f>
        <v>18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>
        <f>SUMIFS(Лист2!$C:$C,Лист2!$A:$A,A11,Лист2!$B:$B,B11)</f>
        <v>18</v>
      </c>
      <c r="F11">
        <f>SUMIFS(Лист2!$D:$D,Лист2!$A:$A,A11,Лист2!$B:$B,B11)</f>
        <v>1708</v>
      </c>
      <c r="G11">
        <f>SUMIFS(Лист2!$E:$E,Лист2!$A:$A,A11,Лист2!$B:$B,B11)</f>
        <v>1534</v>
      </c>
      <c r="H11">
        <f>D11/E11</f>
        <v>150624.83333333334</v>
      </c>
      <c r="I11">
        <f>WEEKNUM(A11,2)</f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>
        <f>SUMIFS(Лист2!$C:$C,Лист2!$A:$A,A12,Лист2!$B:$B,B12)</f>
        <v>20</v>
      </c>
      <c r="F12">
        <f>SUMIFS(Лист2!$D:$D,Лист2!$A:$A,A12,Лист2!$B:$B,B12)</f>
        <v>2044</v>
      </c>
      <c r="G12">
        <f>SUMIFS(Лист2!$E:$E,Лист2!$A:$A,A12,Лист2!$B:$B,B12)</f>
        <v>1863</v>
      </c>
      <c r="H12">
        <f>D12/E12</f>
        <v>148516.5</v>
      </c>
      <c r="I12">
        <f>WEEKNUM(A12,2)</f>
        <v>22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>
        <f>SUMIFS(Лист2!$C:$C,Лист2!$A:$A,A13,Лист2!$B:$B,B13)</f>
        <v>18</v>
      </c>
      <c r="F13">
        <f>SUMIFS(Лист2!$D:$D,Лист2!$A:$A,A13,Лист2!$B:$B,B13)</f>
        <v>1826</v>
      </c>
      <c r="G13">
        <f>SUMIFS(Лист2!$E:$E,Лист2!$A:$A,A13,Лист2!$B:$B,B13)</f>
        <v>1633</v>
      </c>
      <c r="H13">
        <f>D13/E13</f>
        <v>168403</v>
      </c>
      <c r="I13">
        <f>WEEKNUM(A13,2)</f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>
        <f>SUMIFS(Лист2!$C:$C,Лист2!$A:$A,A14,Лист2!$B:$B,B14)</f>
        <v>21</v>
      </c>
      <c r="F14">
        <f>SUMIFS(Лист2!$D:$D,Лист2!$A:$A,A14,Лист2!$B:$B,B14)</f>
        <v>1656</v>
      </c>
      <c r="G14">
        <f>SUMIFS(Лист2!$E:$E,Лист2!$A:$A,A14,Лист2!$B:$B,B14)</f>
        <v>1516</v>
      </c>
      <c r="H14">
        <f>D14/E14</f>
        <v>123608.5</v>
      </c>
      <c r="I14">
        <f>WEEKNUM(A14,2)</f>
        <v>20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>
        <f>SUMIFS(Лист2!$C:$C,Лист2!$A:$A,A15,Лист2!$B:$B,B15)</f>
        <v>21</v>
      </c>
      <c r="F15">
        <f>SUMIFS(Лист2!$D:$D,Лист2!$A:$A,A15,Лист2!$B:$B,B15)</f>
        <v>1787</v>
      </c>
      <c r="G15">
        <f>SUMIFS(Лист2!$E:$E,Лист2!$A:$A,A15,Лист2!$B:$B,B15)</f>
        <v>1626</v>
      </c>
      <c r="H15">
        <f>D15/E15</f>
        <v>130684.85714285714</v>
      </c>
      <c r="I15">
        <f>WEEKNUM(A15,2)</f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>
        <f>SUMIFS(Лист2!$C:$C,Лист2!$A:$A,A16,Лист2!$B:$B,B16)</f>
        <v>21</v>
      </c>
      <c r="F16">
        <f>SUMIFS(Лист2!$D:$D,Лист2!$A:$A,A16,Лист2!$B:$B,B16)</f>
        <v>1921</v>
      </c>
      <c r="G16">
        <f>SUMIFS(Лист2!$E:$E,Лист2!$A:$A,A16,Лист2!$B:$B,B16)</f>
        <v>1767</v>
      </c>
      <c r="H16">
        <f>D16/E16</f>
        <v>139491.92857142858</v>
      </c>
      <c r="I16">
        <f>WEEKNUM(A16,2)</f>
        <v>21</v>
      </c>
    </row>
    <row r="17" spans="1:22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>
        <f>SUMIFS(Лист2!$C:$C,Лист2!$A:$A,A17,Лист2!$B:$B,B17)</f>
        <v>20</v>
      </c>
      <c r="F17">
        <f>SUMIFS(Лист2!$D:$D,Лист2!$A:$A,A17,Лист2!$B:$B,B17)</f>
        <v>1773</v>
      </c>
      <c r="G17">
        <f>SUMIFS(Лист2!$E:$E,Лист2!$A:$A,A17,Лист2!$B:$B,B17)</f>
        <v>1604</v>
      </c>
      <c r="H17">
        <f>D17/E17</f>
        <v>145338.15</v>
      </c>
      <c r="I17">
        <f>WEEKNUM(A17,2)</f>
        <v>19</v>
      </c>
    </row>
    <row r="18" spans="1:22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>
        <f>SUMIFS(Лист2!$C:$C,Лист2!$A:$A,A18,Лист2!$B:$B,B18)</f>
        <v>18</v>
      </c>
      <c r="F18">
        <f>SUMIFS(Лист2!$D:$D,Лист2!$A:$A,A18,Лист2!$B:$B,B18)</f>
        <v>1539</v>
      </c>
      <c r="G18">
        <f>SUMIFS(Лист2!$E:$E,Лист2!$A:$A,A18,Лист2!$B:$B,B18)</f>
        <v>1404</v>
      </c>
      <c r="H18">
        <f>D18/E18</f>
        <v>133977.08333333334</v>
      </c>
      <c r="I18">
        <f>WEEKNUM(A18,2)</f>
        <v>18</v>
      </c>
    </row>
    <row r="19" spans="1:22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>
        <f>SUMIFS(Лист2!$C:$C,Лист2!$A:$A,A19,Лист2!$B:$B,B19)</f>
        <v>21</v>
      </c>
      <c r="F19">
        <f>SUMIFS(Лист2!$D:$D,Лист2!$A:$A,A19,Лист2!$B:$B,B19)</f>
        <v>1698</v>
      </c>
      <c r="G19">
        <f>SUMIFS(Лист2!$E:$E,Лист2!$A:$A,A19,Лист2!$B:$B,B19)</f>
        <v>1554</v>
      </c>
      <c r="H19">
        <f>D19/E19</f>
        <v>125227.71428571429</v>
      </c>
      <c r="I19">
        <f>WEEKNUM(A19,2)</f>
        <v>20</v>
      </c>
    </row>
    <row r="20" spans="1:22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>
        <f>SUMIFS(Лист2!$C:$C,Лист2!$A:$A,A20,Лист2!$B:$B,B20)</f>
        <v>20</v>
      </c>
      <c r="F20">
        <f>SUMIFS(Лист2!$D:$D,Лист2!$A:$A,A20,Лист2!$B:$B,B20)</f>
        <v>1520</v>
      </c>
      <c r="G20">
        <f>SUMIFS(Лист2!$E:$E,Лист2!$A:$A,A20,Лист2!$B:$B,B20)</f>
        <v>1373</v>
      </c>
      <c r="H20">
        <f>D20/E20</f>
        <v>121745.7</v>
      </c>
      <c r="I20">
        <f>WEEKNUM(A20,2)</f>
        <v>18</v>
      </c>
    </row>
    <row r="21" spans="1:22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>
        <f>SUMIFS(Лист2!$C:$C,Лист2!$A:$A,A21,Лист2!$B:$B,B21)</f>
        <v>20</v>
      </c>
      <c r="F21">
        <f>SUMIFS(Лист2!$D:$D,Лист2!$A:$A,A21,Лист2!$B:$B,B21)</f>
        <v>1784</v>
      </c>
      <c r="G21">
        <f>SUMIFS(Лист2!$E:$E,Лист2!$A:$A,A21,Лист2!$B:$B,B21)</f>
        <v>1632</v>
      </c>
      <c r="H21">
        <f>D21/E21</f>
        <v>146931.15</v>
      </c>
      <c r="I21">
        <f>WEEKNUM(A21,2)</f>
        <v>19</v>
      </c>
    </row>
    <row r="22" spans="1:22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>
        <f>SUMIFS(Лист2!$C:$C,Лист2!$A:$A,A22,Лист2!$B:$B,B22)</f>
        <v>21</v>
      </c>
      <c r="F22">
        <f>SUMIFS(Лист2!$D:$D,Лист2!$A:$A,A22,Лист2!$B:$B,B22)</f>
        <v>2340</v>
      </c>
      <c r="G22">
        <f>SUMIFS(Лист2!$E:$E,Лист2!$A:$A,A22,Лист2!$B:$B,B22)</f>
        <v>2146</v>
      </c>
      <c r="H22">
        <f>D22/E22</f>
        <v>172796.5</v>
      </c>
      <c r="I22">
        <f>WEEKNUM(A22,2)</f>
        <v>21</v>
      </c>
    </row>
    <row r="23" spans="1:22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>
        <f>SUMIFS(Лист2!$C:$C,Лист2!$A:$A,A23,Лист2!$B:$B,B23)</f>
        <v>20</v>
      </c>
      <c r="F23">
        <f>SUMIFS(Лист2!$D:$D,Лист2!$A:$A,A23,Лист2!$B:$B,B23)</f>
        <v>2087</v>
      </c>
      <c r="G23">
        <f>SUMIFS(Лист2!$E:$E,Лист2!$A:$A,A23,Лист2!$B:$B,B23)</f>
        <v>1914</v>
      </c>
      <c r="H23">
        <f>D23/E23</f>
        <v>158829</v>
      </c>
      <c r="I23">
        <f>WEEKNUM(A23,2)</f>
        <v>22</v>
      </c>
      <c r="T23" s="13" t="s">
        <v>1</v>
      </c>
      <c r="U23" s="13" t="s">
        <v>35</v>
      </c>
      <c r="V23" t="s">
        <v>7</v>
      </c>
    </row>
    <row r="24" spans="1:22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>
        <f>SUMIFS(Лист2!$C:$C,Лист2!$A:$A,A24,Лист2!$B:$B,B24)</f>
        <v>19</v>
      </c>
      <c r="F24">
        <f>SUMIFS(Лист2!$D:$D,Лист2!$A:$A,A24,Лист2!$B:$B,B24)</f>
        <v>1712</v>
      </c>
      <c r="G24">
        <f>SUMIFS(Лист2!$E:$E,Лист2!$A:$A,A24,Лист2!$B:$B,B24)</f>
        <v>1552</v>
      </c>
      <c r="H24">
        <f>D24/E24</f>
        <v>148273.5</v>
      </c>
      <c r="I24">
        <f>WEEKNUM(A24,2)</f>
        <v>18</v>
      </c>
      <c r="T24" s="14">
        <v>18</v>
      </c>
      <c r="U24" s="15">
        <v>836803032</v>
      </c>
      <c r="V24" s="15">
        <v>249494.04651162791</v>
      </c>
    </row>
    <row r="25" spans="1:22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>
        <f>SUMIFS(Лист2!$C:$C,Лист2!$A:$A,A25,Лист2!$B:$B,B25)</f>
        <v>21</v>
      </c>
      <c r="F25">
        <f>SUMIFS(Лист2!$D:$D,Лист2!$A:$A,A25,Лист2!$B:$B,B25)</f>
        <v>2016</v>
      </c>
      <c r="G25">
        <f>SUMIFS(Лист2!$E:$E,Лист2!$A:$A,A25,Лист2!$B:$B,B25)</f>
        <v>1846</v>
      </c>
      <c r="H25">
        <f>D25/E25</f>
        <v>157760.35714285713</v>
      </c>
      <c r="I25">
        <f>WEEKNUM(A25,2)</f>
        <v>19</v>
      </c>
      <c r="T25" s="14">
        <v>19</v>
      </c>
      <c r="U25" s="15">
        <v>983915409.85664999</v>
      </c>
      <c r="V25" s="15">
        <v>247401.41057496856</v>
      </c>
    </row>
    <row r="26" spans="1:22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>
        <f>SUMIFS(Лист2!$C:$C,Лист2!$A:$A,A26,Лист2!$B:$B,B26)</f>
        <v>21</v>
      </c>
      <c r="F26">
        <f>SUMIFS(Лист2!$D:$D,Лист2!$A:$A,A26,Лист2!$B:$B,B26)</f>
        <v>1646</v>
      </c>
      <c r="G26">
        <f>SUMIFS(Лист2!$E:$E,Лист2!$A:$A,A26,Лист2!$B:$B,B26)</f>
        <v>1492</v>
      </c>
      <c r="H26">
        <f>D26/E26</f>
        <v>125960</v>
      </c>
      <c r="I26">
        <f>WEEKNUM(A26,2)</f>
        <v>19</v>
      </c>
      <c r="T26" s="14">
        <v>20</v>
      </c>
      <c r="U26" s="15">
        <v>947263006.72395003</v>
      </c>
      <c r="V26" s="15">
        <v>237171.50894440411</v>
      </c>
    </row>
    <row r="27" spans="1:22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>
        <f>SUMIFS(Лист2!$C:$C,Лист2!$A:$A,A27,Лист2!$B:$B,B27)</f>
        <v>21</v>
      </c>
      <c r="F27">
        <f>SUMIFS(Лист2!$D:$D,Лист2!$A:$A,A27,Лист2!$B:$B,B27)</f>
        <v>1542</v>
      </c>
      <c r="G27">
        <f>SUMIFS(Лист2!$E:$E,Лист2!$A:$A,A27,Лист2!$B:$B,B27)</f>
        <v>1405</v>
      </c>
      <c r="H27">
        <f>D27/E27</f>
        <v>117724.42857142857</v>
      </c>
      <c r="I27">
        <f>WEEKNUM(A27,2)</f>
        <v>19</v>
      </c>
      <c r="T27" s="14">
        <v>21</v>
      </c>
      <c r="U27" s="15">
        <v>1002691883.0466</v>
      </c>
      <c r="V27" s="15">
        <v>249425.8415538806</v>
      </c>
    </row>
    <row r="28" spans="1:22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>
        <f>SUMIFS(Лист2!$C:$C,Лист2!$A:$A,A28,Лист2!$B:$B,B28)</f>
        <v>20</v>
      </c>
      <c r="F28">
        <f>SUMIFS(Лист2!$D:$D,Лист2!$A:$A,A28,Лист2!$B:$B,B28)</f>
        <v>1999</v>
      </c>
      <c r="G28">
        <f>SUMIFS(Лист2!$E:$E,Лист2!$A:$A,A28,Лист2!$B:$B,B28)</f>
        <v>1829</v>
      </c>
      <c r="H28">
        <f>D28/E28</f>
        <v>146237.32500000001</v>
      </c>
      <c r="I28">
        <f>WEEKNUM(A28,2)</f>
        <v>21</v>
      </c>
      <c r="T28" s="14">
        <v>22</v>
      </c>
      <c r="U28" s="15">
        <v>1055653508.75385</v>
      </c>
      <c r="V28" s="15">
        <v>254313.05920352926</v>
      </c>
    </row>
    <row r="29" spans="1:22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>
        <f>SUMIFS(Лист2!$C:$C,Лист2!$A:$A,A29,Лист2!$B:$B,B29)</f>
        <v>21</v>
      </c>
      <c r="F29">
        <f>SUMIFS(Лист2!$D:$D,Лист2!$A:$A,A29,Лист2!$B:$B,B29)</f>
        <v>2271</v>
      </c>
      <c r="G29">
        <f>SUMIFS(Лист2!$E:$E,Лист2!$A:$A,A29,Лист2!$B:$B,B29)</f>
        <v>2085</v>
      </c>
      <c r="H29">
        <f>D29/E29</f>
        <v>165423.57142857142</v>
      </c>
      <c r="I29">
        <f>WEEKNUM(A29,2)</f>
        <v>22</v>
      </c>
      <c r="T29" s="14">
        <v>23</v>
      </c>
      <c r="U29" s="15">
        <v>136032376.68134999</v>
      </c>
      <c r="V29" s="15">
        <v>221190.85639243902</v>
      </c>
    </row>
    <row r="30" spans="1:22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>
        <f>SUMIFS(Лист2!$C:$C,Лист2!$A:$A,A30,Лист2!$B:$B,B30)</f>
        <v>20</v>
      </c>
      <c r="F30">
        <f>SUMIFS(Лист2!$D:$D,Лист2!$A:$A,A30,Лист2!$B:$B,B30)</f>
        <v>2597</v>
      </c>
      <c r="G30">
        <f>SUMIFS(Лист2!$E:$E,Лист2!$A:$A,A30,Лист2!$B:$B,B30)</f>
        <v>2376</v>
      </c>
      <c r="H30">
        <f>D30/E30</f>
        <v>196089.22500000001</v>
      </c>
      <c r="I30">
        <f>WEEKNUM(A30,2)</f>
        <v>22</v>
      </c>
      <c r="T30" s="14" t="s">
        <v>27</v>
      </c>
      <c r="U30" s="15">
        <v>4962359217.0623999</v>
      </c>
      <c r="V30" s="15">
        <v>246748.50664126096</v>
      </c>
    </row>
    <row r="31" spans="1:22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>
        <f>SUMIFS(Лист2!$C:$C,Лист2!$A:$A,A31,Лист2!$B:$B,B31)</f>
        <v>20</v>
      </c>
      <c r="F31">
        <f>SUMIFS(Лист2!$D:$D,Лист2!$A:$A,A31,Лист2!$B:$B,B31)</f>
        <v>1886</v>
      </c>
      <c r="G31">
        <f>SUMIFS(Лист2!$E:$E,Лист2!$A:$A,A31,Лист2!$B:$B,B31)</f>
        <v>1736</v>
      </c>
      <c r="H31">
        <f>D31/E31</f>
        <v>141388.65</v>
      </c>
      <c r="I31">
        <f>WEEKNUM(A31,2)</f>
        <v>22</v>
      </c>
    </row>
    <row r="32" spans="1:22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>
        <f>SUMIFS(Лист2!$C:$C,Лист2!$A:$A,A32,Лист2!$B:$B,B32)</f>
        <v>31</v>
      </c>
      <c r="F32">
        <f>SUMIFS(Лист2!$D:$D,Лист2!$A:$A,A32,Лист2!$B:$B,B32)</f>
        <v>5593</v>
      </c>
      <c r="G32">
        <f>SUMIFS(Лист2!$E:$E,Лист2!$A:$A,A32,Лист2!$B:$B,B32)</f>
        <v>5177</v>
      </c>
      <c r="H32">
        <f>D32/E32</f>
        <v>244637.37096774194</v>
      </c>
      <c r="I32">
        <f>WEEKNUM(A32,2)</f>
        <v>20</v>
      </c>
    </row>
    <row r="33" spans="1:9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>
        <f>SUMIFS(Лист2!$C:$C,Лист2!$A:$A,A33,Лист2!$B:$B,B33)</f>
        <v>31</v>
      </c>
      <c r="F33">
        <f>SUMIFS(Лист2!$D:$D,Лист2!$A:$A,A33,Лист2!$B:$B,B33)</f>
        <v>5389</v>
      </c>
      <c r="G33">
        <f>SUMIFS(Лист2!$E:$E,Лист2!$A:$A,A33,Лист2!$B:$B,B33)</f>
        <v>5024</v>
      </c>
      <c r="H33">
        <f>D33/E33</f>
        <v>219855.19354838709</v>
      </c>
      <c r="I33">
        <f>WEEKNUM(A33,2)</f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>
        <f>SUMIFS(Лист2!$C:$C,Лист2!$A:$A,A34,Лист2!$B:$B,B34)</f>
        <v>31</v>
      </c>
      <c r="F34">
        <f>SUMIFS(Лист2!$D:$D,Лист2!$A:$A,A34,Лист2!$B:$B,B34)</f>
        <v>5206</v>
      </c>
      <c r="G34">
        <f>SUMIFS(Лист2!$E:$E,Лист2!$A:$A,A34,Лист2!$B:$B,B34)</f>
        <v>4843</v>
      </c>
      <c r="H34">
        <f>D34/E34</f>
        <v>218546.66129032258</v>
      </c>
      <c r="I34">
        <f>WEEKNUM(A34,2)</f>
        <v>20</v>
      </c>
    </row>
    <row r="35" spans="1:9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>
        <f>SUMIFS(Лист2!$C:$C,Лист2!$A:$A,A35,Лист2!$B:$B,B35)</f>
        <v>31</v>
      </c>
      <c r="F35">
        <f>SUMIFS(Лист2!$D:$D,Лист2!$A:$A,A35,Лист2!$B:$B,B35)</f>
        <v>4556</v>
      </c>
      <c r="G35">
        <f>SUMIFS(Лист2!$E:$E,Лист2!$A:$A,A35,Лист2!$B:$B,B35)</f>
        <v>4220</v>
      </c>
      <c r="H35">
        <f>D35/E35</f>
        <v>202094.61290322582</v>
      </c>
      <c r="I35">
        <f>WEEKNUM(A35,2)</f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>
        <f>SUMIFS(Лист2!$C:$C,Лист2!$A:$A,A36,Лист2!$B:$B,B36)</f>
        <v>31</v>
      </c>
      <c r="F36">
        <f>SUMIFS(Лист2!$D:$D,Лист2!$A:$A,A36,Лист2!$B:$B,B36)</f>
        <v>4968</v>
      </c>
      <c r="G36">
        <f>SUMIFS(Лист2!$E:$E,Лист2!$A:$A,A36,Лист2!$B:$B,B36)</f>
        <v>4596</v>
      </c>
      <c r="H36">
        <f>D36/E36</f>
        <v>214266.09677419355</v>
      </c>
      <c r="I36">
        <f>WEEKNUM(A36,2)</f>
        <v>19</v>
      </c>
    </row>
    <row r="37" spans="1:9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>
        <f>SUMIFS(Лист2!$C:$C,Лист2!$A:$A,A37,Лист2!$B:$B,B37)</f>
        <v>31</v>
      </c>
      <c r="F37">
        <f>SUMIFS(Лист2!$D:$D,Лист2!$A:$A,A37,Лист2!$B:$B,B37)</f>
        <v>5378</v>
      </c>
      <c r="G37">
        <f>SUMIFS(Лист2!$E:$E,Лист2!$A:$A,A37,Лист2!$B:$B,B37)</f>
        <v>4985</v>
      </c>
      <c r="H37">
        <f>D37/E37</f>
        <v>231628.98387096773</v>
      </c>
      <c r="I37">
        <f>WEEKNUM(A37,2)</f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>
        <f>SUMIFS(Лист2!$C:$C,Лист2!$A:$A,A38,Лист2!$B:$B,B38)</f>
        <v>31</v>
      </c>
      <c r="F38">
        <f>SUMIFS(Лист2!$D:$D,Лист2!$A:$A,A38,Лист2!$B:$B,B38)</f>
        <v>4157</v>
      </c>
      <c r="G38">
        <f>SUMIFS(Лист2!$E:$E,Лист2!$A:$A,A38,Лист2!$B:$B,B38)</f>
        <v>3823</v>
      </c>
      <c r="H38">
        <f>D38/E38</f>
        <v>179167.5</v>
      </c>
      <c r="I38">
        <f>WEEKNUM(A38,2)</f>
        <v>18</v>
      </c>
    </row>
    <row r="39" spans="1:9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>
        <f>SUMIFS(Лист2!$C:$C,Лист2!$A:$A,A39,Лист2!$B:$B,B39)</f>
        <v>31</v>
      </c>
      <c r="F39">
        <f>SUMIFS(Лист2!$D:$D,Лист2!$A:$A,A39,Лист2!$B:$B,B39)</f>
        <v>5493</v>
      </c>
      <c r="G39">
        <f>SUMIFS(Лист2!$E:$E,Лист2!$A:$A,A39,Лист2!$B:$B,B39)</f>
        <v>5119</v>
      </c>
      <c r="H39">
        <f>D39/E39</f>
        <v>215369.66129032258</v>
      </c>
      <c r="I39">
        <f>WEEKNUM(A39,2)</f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>
        <f>SUMIFS(Лист2!$C:$C,Лист2!$A:$A,A40,Лист2!$B:$B,B40)</f>
        <v>31</v>
      </c>
      <c r="F40">
        <f>SUMIFS(Лист2!$D:$D,Лист2!$A:$A,A40,Лист2!$B:$B,B40)</f>
        <v>6118</v>
      </c>
      <c r="G40">
        <f>SUMIFS(Лист2!$E:$E,Лист2!$A:$A,A40,Лист2!$B:$B,B40)</f>
        <v>5564</v>
      </c>
      <c r="H40">
        <f>D40/E40</f>
        <v>286871.75806451612</v>
      </c>
      <c r="I40">
        <f>WEEKNUM(A40,2)</f>
        <v>18</v>
      </c>
    </row>
    <row r="41" spans="1:9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>
        <f>SUMIFS(Лист2!$C:$C,Лист2!$A:$A,A41,Лист2!$B:$B,B41)</f>
        <v>31</v>
      </c>
      <c r="F41">
        <f>SUMIFS(Лист2!$D:$D,Лист2!$A:$A,A41,Лист2!$B:$B,B41)</f>
        <v>4800</v>
      </c>
      <c r="G41">
        <f>SUMIFS(Лист2!$E:$E,Лист2!$A:$A,A41,Лист2!$B:$B,B41)</f>
        <v>4470</v>
      </c>
      <c r="H41">
        <f>D41/E41</f>
        <v>206398.74193548388</v>
      </c>
      <c r="I41">
        <f>WEEKNUM(A41,2)</f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>
        <f>SUMIFS(Лист2!$C:$C,Лист2!$A:$A,A42,Лист2!$B:$B,B42)</f>
        <v>31</v>
      </c>
      <c r="F42">
        <f>SUMIFS(Лист2!$D:$D,Лист2!$A:$A,A42,Лист2!$B:$B,B42)</f>
        <v>5207</v>
      </c>
      <c r="G42">
        <f>SUMIFS(Лист2!$E:$E,Лист2!$A:$A,A42,Лист2!$B:$B,B42)</f>
        <v>4868</v>
      </c>
      <c r="H42">
        <f>D42/E42</f>
        <v>213995.0806451613</v>
      </c>
      <c r="I42">
        <f>WEEKNUM(A42,2)</f>
        <v>21</v>
      </c>
    </row>
    <row r="43" spans="1:9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>
        <f>SUMIFS(Лист2!$C:$C,Лист2!$A:$A,A43,Лист2!$B:$B,B43)</f>
        <v>31</v>
      </c>
      <c r="F43">
        <f>SUMIFS(Лист2!$D:$D,Лист2!$A:$A,A43,Лист2!$B:$B,B43)</f>
        <v>5698</v>
      </c>
      <c r="G43">
        <f>SUMIFS(Лист2!$E:$E,Лист2!$A:$A,A43,Лист2!$B:$B,B43)</f>
        <v>5258</v>
      </c>
      <c r="H43">
        <f>D43/E43</f>
        <v>233792.75806451612</v>
      </c>
      <c r="I43">
        <f>WEEKNUM(A43,2)</f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>
        <f>SUMIFS(Лист2!$C:$C,Лист2!$A:$A,A44,Лист2!$B:$B,B44)</f>
        <v>31</v>
      </c>
      <c r="F44">
        <f>SUMIFS(Лист2!$D:$D,Лист2!$A:$A,A44,Лист2!$B:$B,B44)</f>
        <v>5188</v>
      </c>
      <c r="G44">
        <f>SUMIFS(Лист2!$E:$E,Лист2!$A:$A,A44,Лист2!$B:$B,B44)</f>
        <v>4800</v>
      </c>
      <c r="H44">
        <f>D44/E44</f>
        <v>223268.27419354839</v>
      </c>
      <c r="I44">
        <f>WEEKNUM(A44,2)</f>
        <v>19</v>
      </c>
    </row>
    <row r="45" spans="1:9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>
        <f>SUMIFS(Лист2!$C:$C,Лист2!$A:$A,A45,Лист2!$B:$B,B45)</f>
        <v>31</v>
      </c>
      <c r="F45">
        <f>SUMIFS(Лист2!$D:$D,Лист2!$A:$A,A45,Лист2!$B:$B,B45)</f>
        <v>5465</v>
      </c>
      <c r="G45">
        <f>SUMIFS(Лист2!$E:$E,Лист2!$A:$A,A45,Лист2!$B:$B,B45)</f>
        <v>5096</v>
      </c>
      <c r="H45">
        <f>D45/E45</f>
        <v>231085.30645161291</v>
      </c>
      <c r="I45">
        <f>WEEKNUM(A45,2)</f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>
        <f>SUMIFS(Лист2!$C:$C,Лист2!$A:$A,A46,Лист2!$B:$B,B46)</f>
        <v>31</v>
      </c>
      <c r="F46">
        <f>SUMIFS(Лист2!$D:$D,Лист2!$A:$A,A46,Лист2!$B:$B,B46)</f>
        <v>5251</v>
      </c>
      <c r="G46">
        <f>SUMIFS(Лист2!$E:$E,Лист2!$A:$A,A46,Лист2!$B:$B,B46)</f>
        <v>4853</v>
      </c>
      <c r="H46">
        <f>D46/E46</f>
        <v>225611.37096774194</v>
      </c>
      <c r="I46">
        <f>WEEKNUM(A46,2)</f>
        <v>20</v>
      </c>
    </row>
    <row r="47" spans="1:9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>
        <f>SUMIFS(Лист2!$C:$C,Лист2!$A:$A,A47,Лист2!$B:$B,B47)</f>
        <v>31</v>
      </c>
      <c r="F47">
        <f>SUMIFS(Лист2!$D:$D,Лист2!$A:$A,A47,Лист2!$B:$B,B47)</f>
        <v>5155</v>
      </c>
      <c r="G47">
        <f>SUMIFS(Лист2!$E:$E,Лист2!$A:$A,A47,Лист2!$B:$B,B47)</f>
        <v>4762</v>
      </c>
      <c r="H47">
        <f>D47/E47</f>
        <v>226247.4193548387</v>
      </c>
      <c r="I47">
        <f>WEEKNUM(A47,2)</f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>
        <f>SUMIFS(Лист2!$C:$C,Лист2!$A:$A,A48,Лист2!$B:$B,B48)</f>
        <v>31</v>
      </c>
      <c r="F48">
        <f>SUMIFS(Лист2!$D:$D,Лист2!$A:$A,A48,Лист2!$B:$B,B48)</f>
        <v>4709</v>
      </c>
      <c r="G48">
        <f>SUMIFS(Лист2!$E:$E,Лист2!$A:$A,A48,Лист2!$B:$B,B48)</f>
        <v>4348</v>
      </c>
      <c r="H48">
        <f>D48/E48</f>
        <v>198988.93548387097</v>
      </c>
      <c r="I48">
        <f>WEEKNUM(A48,2)</f>
        <v>19</v>
      </c>
    </row>
    <row r="49" spans="1:9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>
        <f>SUMIFS(Лист2!$C:$C,Лист2!$A:$A,A49,Лист2!$B:$B,B49)</f>
        <v>31</v>
      </c>
      <c r="F49">
        <f>SUMIFS(Лист2!$D:$D,Лист2!$A:$A,A49,Лист2!$B:$B,B49)</f>
        <v>6276</v>
      </c>
      <c r="G49">
        <f>SUMIFS(Лист2!$E:$E,Лист2!$A:$A,A49,Лист2!$B:$B,B49)</f>
        <v>5801</v>
      </c>
      <c r="H49">
        <f>D49/E49</f>
        <v>260940.09677419355</v>
      </c>
      <c r="I49">
        <f>WEEKNUM(A49,2)</f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>
        <f>SUMIFS(Лист2!$C:$C,Лист2!$A:$A,A50,Лист2!$B:$B,B50)</f>
        <v>31</v>
      </c>
      <c r="F50">
        <f>SUMIFS(Лист2!$D:$D,Лист2!$A:$A,A50,Лист2!$B:$B,B50)</f>
        <v>5210</v>
      </c>
      <c r="G50">
        <f>SUMIFS(Лист2!$E:$E,Лист2!$A:$A,A50,Лист2!$B:$B,B50)</f>
        <v>4841</v>
      </c>
      <c r="H50">
        <f>D50/E50</f>
        <v>214374.29032258064</v>
      </c>
      <c r="I50">
        <f>WEEKNUM(A50,2)</f>
        <v>22</v>
      </c>
    </row>
    <row r="51" spans="1:9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>
        <f>SUMIFS(Лист2!$C:$C,Лист2!$A:$A,A51,Лист2!$B:$B,B51)</f>
        <v>31</v>
      </c>
      <c r="F51">
        <f>SUMIFS(Лист2!$D:$D,Лист2!$A:$A,A51,Лист2!$B:$B,B51)</f>
        <v>5120</v>
      </c>
      <c r="G51">
        <f>SUMIFS(Лист2!$E:$E,Лист2!$A:$A,A51,Лист2!$B:$B,B51)</f>
        <v>4737</v>
      </c>
      <c r="H51">
        <f>D51/E51</f>
        <v>226571.85483870967</v>
      </c>
      <c r="I51">
        <f>WEEKNUM(A51,2)</f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>
        <f>SUMIFS(Лист2!$C:$C,Лист2!$A:$A,A52,Лист2!$B:$B,B52)</f>
        <v>31</v>
      </c>
      <c r="F52">
        <f>SUMIFS(Лист2!$D:$D,Лист2!$A:$A,A52,Лист2!$B:$B,B52)</f>
        <v>5495</v>
      </c>
      <c r="G52">
        <f>SUMIFS(Лист2!$E:$E,Лист2!$A:$A,A52,Лист2!$B:$B,B52)</f>
        <v>5093</v>
      </c>
      <c r="H52">
        <f>D52/E52</f>
        <v>241393.35483870967</v>
      </c>
      <c r="I52">
        <f>WEEKNUM(A52,2)</f>
        <v>19</v>
      </c>
    </row>
    <row r="53" spans="1:9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>
        <f>SUMIFS(Лист2!$C:$C,Лист2!$A:$A,A53,Лист2!$B:$B,B53)</f>
        <v>31</v>
      </c>
      <c r="F53">
        <f>SUMIFS(Лист2!$D:$D,Лист2!$A:$A,A53,Лист2!$B:$B,B53)</f>
        <v>4635</v>
      </c>
      <c r="G53">
        <f>SUMIFS(Лист2!$E:$E,Лист2!$A:$A,A53,Лист2!$B:$B,B53)</f>
        <v>4266</v>
      </c>
      <c r="H53">
        <f>D53/E53</f>
        <v>203025.04838709679</v>
      </c>
      <c r="I53">
        <f>WEEKNUM(A53,2)</f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>
        <f>SUMIFS(Лист2!$C:$C,Лист2!$A:$A,A54,Лист2!$B:$B,B54)</f>
        <v>31</v>
      </c>
      <c r="F54">
        <f>SUMIFS(Лист2!$D:$D,Лист2!$A:$A,A54,Лист2!$B:$B,B54)</f>
        <v>4903</v>
      </c>
      <c r="G54">
        <f>SUMIFS(Лист2!$E:$E,Лист2!$A:$A,A54,Лист2!$B:$B,B54)</f>
        <v>4527</v>
      </c>
      <c r="H54">
        <f>D54/E54</f>
        <v>212641.40322580645</v>
      </c>
      <c r="I54">
        <f>WEEKNUM(A54,2)</f>
        <v>19</v>
      </c>
    </row>
    <row r="55" spans="1:9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>
        <f>SUMIFS(Лист2!$C:$C,Лист2!$A:$A,A55,Лист2!$B:$B,B55)</f>
        <v>31</v>
      </c>
      <c r="F55">
        <f>SUMIFS(Лист2!$D:$D,Лист2!$A:$A,A55,Лист2!$B:$B,B55)</f>
        <v>5035</v>
      </c>
      <c r="G55">
        <f>SUMIFS(Лист2!$E:$E,Лист2!$A:$A,A55,Лист2!$B:$B,B55)</f>
        <v>4683</v>
      </c>
      <c r="H55">
        <f>D55/E55</f>
        <v>208097.80645161291</v>
      </c>
      <c r="I55">
        <f>WEEKNUM(A55,2)</f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>
        <f>SUMIFS(Лист2!$C:$C,Лист2!$A:$A,A56,Лист2!$B:$B,B56)</f>
        <v>10</v>
      </c>
      <c r="F56">
        <f>SUMIFS(Лист2!$D:$D,Лист2!$A:$A,A56,Лист2!$B:$B,B56)</f>
        <v>760</v>
      </c>
      <c r="G56">
        <f>SUMIFS(Лист2!$E:$E,Лист2!$A:$A,A56,Лист2!$B:$B,B56)</f>
        <v>672</v>
      </c>
      <c r="H56">
        <f>D56/E56</f>
        <v>113050.65</v>
      </c>
      <c r="I56">
        <f>WEEKNUM(A56,2)</f>
        <v>20</v>
      </c>
    </row>
    <row r="57" spans="1:9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>
        <f>SUMIFS(Лист2!$C:$C,Лист2!$A:$A,A57,Лист2!$B:$B,B57)</f>
        <v>10</v>
      </c>
      <c r="F57">
        <f>SUMIFS(Лист2!$D:$D,Лист2!$A:$A,A57,Лист2!$B:$B,B57)</f>
        <v>649</v>
      </c>
      <c r="G57">
        <f>SUMIFS(Лист2!$E:$E,Лист2!$A:$A,A57,Лист2!$B:$B,B57)</f>
        <v>568</v>
      </c>
      <c r="H57">
        <f>D57/E57</f>
        <v>93876.45</v>
      </c>
      <c r="I57">
        <f>WEEKNUM(A57,2)</f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>
        <f>SUMIFS(Лист2!$C:$C,Лист2!$A:$A,A58,Лист2!$B:$B,B58)</f>
        <v>10</v>
      </c>
      <c r="F58">
        <f>SUMIFS(Лист2!$D:$D,Лист2!$A:$A,A58,Лист2!$B:$B,B58)</f>
        <v>591</v>
      </c>
      <c r="G58">
        <f>SUMIFS(Лист2!$E:$E,Лист2!$A:$A,A58,Лист2!$B:$B,B58)</f>
        <v>513</v>
      </c>
      <c r="H58">
        <f>D58/E58</f>
        <v>84372.75</v>
      </c>
      <c r="I58">
        <f>WEEKNUM(A58,2)</f>
        <v>20</v>
      </c>
    </row>
    <row r="59" spans="1:9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>
        <f>SUMIFS(Лист2!$C:$C,Лист2!$A:$A,A59,Лист2!$B:$B,B59)</f>
        <v>10</v>
      </c>
      <c r="F59">
        <f>SUMIFS(Лист2!$D:$D,Лист2!$A:$A,A59,Лист2!$B:$B,B59)</f>
        <v>644</v>
      </c>
      <c r="G59">
        <f>SUMIFS(Лист2!$E:$E,Лист2!$A:$A,A59,Лист2!$B:$B,B59)</f>
        <v>559</v>
      </c>
      <c r="H59">
        <f>D59/E59</f>
        <v>104640</v>
      </c>
      <c r="I59">
        <f>WEEKNUM(A59,2)</f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>
        <f>SUMIFS(Лист2!$C:$C,Лист2!$A:$A,A60,Лист2!$B:$B,B60)</f>
        <v>10</v>
      </c>
      <c r="F60">
        <f>SUMIFS(Лист2!$D:$D,Лист2!$A:$A,A60,Лист2!$B:$B,B60)</f>
        <v>462</v>
      </c>
      <c r="G60">
        <f>SUMIFS(Лист2!$E:$E,Лист2!$A:$A,A60,Лист2!$B:$B,B60)</f>
        <v>396</v>
      </c>
      <c r="H60">
        <f>D60/E60</f>
        <v>72889.05</v>
      </c>
      <c r="I60">
        <f>WEEKNUM(A60,2)</f>
        <v>19</v>
      </c>
    </row>
    <row r="61" spans="1:9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>
        <f>SUMIFS(Лист2!$C:$C,Лист2!$A:$A,A61,Лист2!$B:$B,B61)</f>
        <v>10</v>
      </c>
      <c r="F61">
        <f>SUMIFS(Лист2!$D:$D,Лист2!$A:$A,A61,Лист2!$B:$B,B61)</f>
        <v>502</v>
      </c>
      <c r="G61">
        <f>SUMIFS(Лист2!$E:$E,Лист2!$A:$A,A61,Лист2!$B:$B,B61)</f>
        <v>433</v>
      </c>
      <c r="H61">
        <f>D61/E61</f>
        <v>79791.899999999994</v>
      </c>
      <c r="I61">
        <f>WEEKNUM(A61,2)</f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>
        <f>SUMIFS(Лист2!$C:$C,Лист2!$A:$A,A62,Лист2!$B:$B,B62)</f>
        <v>10</v>
      </c>
      <c r="F62">
        <f>SUMIFS(Лист2!$D:$D,Лист2!$A:$A,A62,Лист2!$B:$B,B62)</f>
        <v>416</v>
      </c>
      <c r="G62">
        <f>SUMIFS(Лист2!$E:$E,Лист2!$A:$A,A62,Лист2!$B:$B,B62)</f>
        <v>341</v>
      </c>
      <c r="H62">
        <f>D62/E62</f>
        <v>61788.15</v>
      </c>
      <c r="I62">
        <f>WEEKNUM(A62,2)</f>
        <v>18</v>
      </c>
    </row>
    <row r="63" spans="1:9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>
        <f>SUMIFS(Лист2!$C:$C,Лист2!$A:$A,A63,Лист2!$B:$B,B63)</f>
        <v>10</v>
      </c>
      <c r="F63">
        <f>SUMIFS(Лист2!$D:$D,Лист2!$A:$A,A63,Лист2!$B:$B,B63)</f>
        <v>692</v>
      </c>
      <c r="G63">
        <f>SUMIFS(Лист2!$E:$E,Лист2!$A:$A,A63,Лист2!$B:$B,B63)</f>
        <v>601</v>
      </c>
      <c r="H63">
        <f>D63/E63</f>
        <v>98310.9</v>
      </c>
      <c r="I63">
        <f>WEEKNUM(A63,2)</f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>
        <f>SUMIFS(Лист2!$C:$C,Лист2!$A:$A,A64,Лист2!$B:$B,B64)</f>
        <v>10</v>
      </c>
      <c r="F64">
        <f>SUMIFS(Лист2!$D:$D,Лист2!$A:$A,A64,Лист2!$B:$B,B64)</f>
        <v>554</v>
      </c>
      <c r="G64">
        <f>SUMIFS(Лист2!$E:$E,Лист2!$A:$A,A64,Лист2!$B:$B,B64)</f>
        <v>472</v>
      </c>
      <c r="H64">
        <f>D64/E64</f>
        <v>89113.95</v>
      </c>
      <c r="I64">
        <f>WEEKNUM(A64,2)</f>
        <v>18</v>
      </c>
    </row>
    <row r="65" spans="1:9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>
        <f>SUMIFS(Лист2!$C:$C,Лист2!$A:$A,A65,Лист2!$B:$B,B65)</f>
        <v>10</v>
      </c>
      <c r="F65">
        <f>SUMIFS(Лист2!$D:$D,Лист2!$A:$A,A65,Лист2!$B:$B,B65)</f>
        <v>526</v>
      </c>
      <c r="G65">
        <f>SUMIFS(Лист2!$E:$E,Лист2!$A:$A,A65,Лист2!$B:$B,B65)</f>
        <v>448</v>
      </c>
      <c r="H65">
        <f>D65/E65</f>
        <v>73296.45</v>
      </c>
      <c r="I65">
        <f>WEEKNUM(A65,2)</f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>
        <f>SUMIFS(Лист2!$C:$C,Лист2!$A:$A,A66,Лист2!$B:$B,B66)</f>
        <v>10</v>
      </c>
      <c r="F66">
        <f>SUMIFS(Лист2!$D:$D,Лист2!$A:$A,A66,Лист2!$B:$B,B66)</f>
        <v>677</v>
      </c>
      <c r="G66">
        <f>SUMIFS(Лист2!$E:$E,Лист2!$A:$A,A66,Лист2!$B:$B,B66)</f>
        <v>591</v>
      </c>
      <c r="H66">
        <f>D66/E66</f>
        <v>93552.3</v>
      </c>
      <c r="I66">
        <f>WEEKNUM(A66,2)</f>
        <v>21</v>
      </c>
    </row>
    <row r="67" spans="1:9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>
        <f>SUMIFS(Лист2!$C:$C,Лист2!$A:$A,A67,Лист2!$B:$B,B67)</f>
        <v>10</v>
      </c>
      <c r="F67">
        <f>SUMIFS(Лист2!$D:$D,Лист2!$A:$A,A67,Лист2!$B:$B,B67)</f>
        <v>745</v>
      </c>
      <c r="G67">
        <f>SUMIFS(Лист2!$E:$E,Лист2!$A:$A,A67,Лист2!$B:$B,B67)</f>
        <v>654</v>
      </c>
      <c r="H67">
        <f>D67/E67</f>
        <v>103724.7</v>
      </c>
      <c r="I67">
        <f>WEEKNUM(A67,2)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>
        <f>SUMIFS(Лист2!$C:$C,Лист2!$A:$A,A68,Лист2!$B:$B,B68)</f>
        <v>10</v>
      </c>
      <c r="F68">
        <f>SUMIFS(Лист2!$D:$D,Лист2!$A:$A,A68,Лист2!$B:$B,B68)</f>
        <v>511</v>
      </c>
      <c r="G68">
        <f>SUMIFS(Лист2!$E:$E,Лист2!$A:$A,A68,Лист2!$B:$B,B68)</f>
        <v>437</v>
      </c>
      <c r="H68">
        <f>D68/E68</f>
        <v>79332</v>
      </c>
      <c r="I68">
        <f>WEEKNUM(A68,2)</f>
        <v>19</v>
      </c>
    </row>
    <row r="69" spans="1:9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>
        <f>SUMIFS(Лист2!$C:$C,Лист2!$A:$A,A69,Лист2!$B:$B,B69)</f>
        <v>10</v>
      </c>
      <c r="F69">
        <f>SUMIFS(Лист2!$D:$D,Лист2!$A:$A,A69,Лист2!$B:$B,B69)</f>
        <v>580</v>
      </c>
      <c r="G69">
        <f>SUMIFS(Лист2!$E:$E,Лист2!$A:$A,A69,Лист2!$B:$B,B69)</f>
        <v>506</v>
      </c>
      <c r="H69">
        <f>D69/E69</f>
        <v>86998.35</v>
      </c>
      <c r="I69">
        <f>WEEKNUM(A69,2)</f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>
        <f>SUMIFS(Лист2!$C:$C,Лист2!$A:$A,A70,Лист2!$B:$B,B70)</f>
        <v>10</v>
      </c>
      <c r="F70">
        <f>SUMIFS(Лист2!$D:$D,Лист2!$A:$A,A70,Лист2!$B:$B,B70)</f>
        <v>612</v>
      </c>
      <c r="G70">
        <f>SUMIFS(Лист2!$E:$E,Лист2!$A:$A,A70,Лист2!$B:$B,B70)</f>
        <v>530</v>
      </c>
      <c r="H70">
        <f>D70/E70</f>
        <v>86571.45</v>
      </c>
      <c r="I70">
        <f>WEEKNUM(A70,2)</f>
        <v>20</v>
      </c>
    </row>
    <row r="71" spans="1:9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>
        <f>SUMIFS(Лист2!$C:$C,Лист2!$A:$A,A71,Лист2!$B:$B,B71)</f>
        <v>31</v>
      </c>
      <c r="F71">
        <f>SUMIFS(Лист2!$D:$D,Лист2!$A:$A,A71,Лист2!$B:$B,B71)</f>
        <v>5760</v>
      </c>
      <c r="G71">
        <f>SUMIFS(Лист2!$E:$E,Лист2!$A:$A,A71,Лист2!$B:$B,B71)</f>
        <v>5367</v>
      </c>
      <c r="H71">
        <f>D71/E71</f>
        <v>242343.43548387097</v>
      </c>
      <c r="I71">
        <f>WEEKNUM(A71,2)</f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>
        <f>SUMIFS(Лист2!$C:$C,Лист2!$A:$A,A72,Лист2!$B:$B,B72)</f>
        <v>10</v>
      </c>
      <c r="F72">
        <f>SUMIFS(Лист2!$D:$D,Лист2!$A:$A,A72,Лист2!$B:$B,B72)</f>
        <v>402</v>
      </c>
      <c r="G72">
        <f>SUMIFS(Лист2!$E:$E,Лист2!$A:$A,A72,Лист2!$B:$B,B72)</f>
        <v>333</v>
      </c>
      <c r="H72">
        <f>D72/E72</f>
        <v>63788.1</v>
      </c>
      <c r="I72">
        <f>WEEKNUM(A72,2)</f>
        <v>18</v>
      </c>
    </row>
    <row r="73" spans="1:9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>
        <f>SUMIFS(Лист2!$C:$C,Лист2!$A:$A,A73,Лист2!$B:$B,B73)</f>
        <v>31</v>
      </c>
      <c r="F73">
        <f>SUMIFS(Лист2!$D:$D,Лист2!$A:$A,A73,Лист2!$B:$B,B73)</f>
        <v>6735</v>
      </c>
      <c r="G73">
        <f>SUMIFS(Лист2!$E:$E,Лист2!$A:$A,A73,Лист2!$B:$B,B73)</f>
        <v>6264</v>
      </c>
      <c r="H73">
        <f>D73/E73</f>
        <v>295635.72580645164</v>
      </c>
      <c r="I73">
        <f>WEEKNUM(A73,2)</f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>
        <f>SUMIFS(Лист2!$C:$C,Лист2!$A:$A,A74,Лист2!$B:$B,B74)</f>
        <v>10</v>
      </c>
      <c r="F74">
        <f>SUMIFS(Лист2!$D:$D,Лист2!$A:$A,A74,Лист2!$B:$B,B74)</f>
        <v>465</v>
      </c>
      <c r="G74">
        <f>SUMIFS(Лист2!$E:$E,Лист2!$A:$A,A74,Лист2!$B:$B,B74)</f>
        <v>390</v>
      </c>
      <c r="H74">
        <f>D74/E74</f>
        <v>69683.25</v>
      </c>
      <c r="I74">
        <f>WEEKNUM(A74,2)</f>
        <v>19</v>
      </c>
    </row>
    <row r="75" spans="1:9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>
        <f>SUMIFS(Лист2!$C:$C,Лист2!$A:$A,A75,Лист2!$B:$B,B75)</f>
        <v>10</v>
      </c>
      <c r="F75">
        <f>SUMIFS(Лист2!$D:$D,Лист2!$A:$A,A75,Лист2!$B:$B,B75)</f>
        <v>828</v>
      </c>
      <c r="G75">
        <f>SUMIFS(Лист2!$E:$E,Лист2!$A:$A,A75,Лист2!$B:$B,B75)</f>
        <v>734</v>
      </c>
      <c r="H75">
        <f>D75/E75</f>
        <v>124138.35</v>
      </c>
      <c r="I75">
        <f>WEEKNUM(A75,2)</f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>
        <f>SUMIFS(Лист2!$C:$C,Лист2!$A:$A,A76,Лист2!$B:$B,B76)</f>
        <v>31</v>
      </c>
      <c r="F76">
        <f>SUMIFS(Лист2!$D:$D,Лист2!$A:$A,A76,Лист2!$B:$B,B76)</f>
        <v>5355</v>
      </c>
      <c r="G76">
        <f>SUMIFS(Лист2!$E:$E,Лист2!$A:$A,A76,Лист2!$B:$B,B76)</f>
        <v>4969</v>
      </c>
      <c r="H76">
        <f>D76/E76</f>
        <v>214244.17741935485</v>
      </c>
      <c r="I76">
        <f>WEEKNUM(A76,2)</f>
        <v>22</v>
      </c>
    </row>
    <row r="77" spans="1:9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>
        <f>SUMIFS(Лист2!$C:$C,Лист2!$A:$A,A77,Лист2!$B:$B,B77)</f>
        <v>10</v>
      </c>
      <c r="F77">
        <f>SUMIFS(Лист2!$D:$D,Лист2!$A:$A,A77,Лист2!$B:$B,B77)</f>
        <v>739</v>
      </c>
      <c r="G77">
        <f>SUMIFS(Лист2!$E:$E,Лист2!$A:$A,A77,Лист2!$B:$B,B77)</f>
        <v>642</v>
      </c>
      <c r="H77">
        <f>D77/E77</f>
        <v>103044</v>
      </c>
      <c r="I77">
        <f>WEEKNUM(A77,2)</f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>
        <f>SUMIFS(Лист2!$C:$C,Лист2!$A:$A,A78,Лист2!$B:$B,B78)</f>
        <v>10</v>
      </c>
      <c r="F78">
        <f>SUMIFS(Лист2!$D:$D,Лист2!$A:$A,A78,Лист2!$B:$B,B78)</f>
        <v>448</v>
      </c>
      <c r="G78">
        <f>SUMIFS(Лист2!$E:$E,Лист2!$A:$A,A78,Лист2!$B:$B,B78)</f>
        <v>376</v>
      </c>
      <c r="H78">
        <f>D78/E78</f>
        <v>71619.600000000006</v>
      </c>
      <c r="I78">
        <f>WEEKNUM(A78,2)</f>
        <v>18</v>
      </c>
    </row>
    <row r="79" spans="1:9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>
        <f>SUMIFS(Лист2!$C:$C,Лист2!$A:$A,A79,Лист2!$B:$B,B79)</f>
        <v>10</v>
      </c>
      <c r="F79">
        <f>SUMIFS(Лист2!$D:$D,Лист2!$A:$A,A79,Лист2!$B:$B,B79)</f>
        <v>642</v>
      </c>
      <c r="G79">
        <f>SUMIFS(Лист2!$E:$E,Лист2!$A:$A,A79,Лист2!$B:$B,B79)</f>
        <v>556</v>
      </c>
      <c r="H79">
        <f>D79/E79</f>
        <v>100478.85</v>
      </c>
      <c r="I79">
        <f>WEEKNUM(A79,2)</f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>
        <f>SUMIFS(Лист2!$C:$C,Лист2!$A:$A,A80,Лист2!$B:$B,B80)</f>
        <v>10</v>
      </c>
      <c r="F80">
        <f>SUMIFS(Лист2!$D:$D,Лист2!$A:$A,A80,Лист2!$B:$B,B80)</f>
        <v>638</v>
      </c>
      <c r="G80">
        <f>SUMIFS(Лист2!$E:$E,Лист2!$A:$A,A80,Лист2!$B:$B,B80)</f>
        <v>547</v>
      </c>
      <c r="H80">
        <f>D80/E80</f>
        <v>95970.3</v>
      </c>
      <c r="I80">
        <f>WEEKNUM(A80,2)</f>
        <v>19</v>
      </c>
    </row>
    <row r="81" spans="1:9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>
        <f>SUMIFS(Лист2!$C:$C,Лист2!$A:$A,A81,Лист2!$B:$B,B81)</f>
        <v>10</v>
      </c>
      <c r="F81">
        <f>SUMIFS(Лист2!$D:$D,Лист2!$A:$A,A81,Лист2!$B:$B,B81)</f>
        <v>563</v>
      </c>
      <c r="G81">
        <f>SUMIFS(Лист2!$E:$E,Лист2!$A:$A,A81,Лист2!$B:$B,B81)</f>
        <v>486</v>
      </c>
      <c r="H81">
        <f>D81/E81</f>
        <v>86375.4</v>
      </c>
      <c r="I81">
        <f>WEEKNUM(A81,2)</f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>
        <f>SUMIFS(Лист2!$C:$C,Лист2!$A:$A,A82,Лист2!$B:$B,B82)</f>
        <v>10</v>
      </c>
      <c r="F82">
        <f>SUMIFS(Лист2!$D:$D,Лист2!$A:$A,A82,Лист2!$B:$B,B82)</f>
        <v>639</v>
      </c>
      <c r="G82">
        <f>SUMIFS(Лист2!$E:$E,Лист2!$A:$A,A82,Лист2!$B:$B,B82)</f>
        <v>557</v>
      </c>
      <c r="H82">
        <f>D82/E82</f>
        <v>82898.399999999994</v>
      </c>
      <c r="I82">
        <f>WEEKNUM(A82,2)</f>
        <v>21</v>
      </c>
    </row>
    <row r="83" spans="1:9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>
        <f>SUMIFS(Лист2!$C:$C,Лист2!$A:$A,A83,Лист2!$B:$B,B83)</f>
        <v>10</v>
      </c>
      <c r="F83">
        <f>SUMIFS(Лист2!$D:$D,Лист2!$A:$A,A83,Лист2!$B:$B,B83)</f>
        <v>749</v>
      </c>
      <c r="G83">
        <f>SUMIFS(Лист2!$E:$E,Лист2!$A:$A,A83,Лист2!$B:$B,B83)</f>
        <v>655</v>
      </c>
      <c r="H83">
        <f>D83/E83</f>
        <v>104551.5</v>
      </c>
      <c r="I83">
        <f>WEEKNUM(A83,2)</f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>
        <f>SUMIFS(Лист2!$C:$C,Лист2!$A:$A,A84,Лист2!$B:$B,B84)</f>
        <v>10</v>
      </c>
      <c r="F84">
        <f>SUMIFS(Лист2!$D:$D,Лист2!$A:$A,A84,Лист2!$B:$B,B84)</f>
        <v>865</v>
      </c>
      <c r="G84">
        <f>SUMIFS(Лист2!$E:$E,Лист2!$A:$A,A84,Лист2!$B:$B,B84)</f>
        <v>763</v>
      </c>
      <c r="H84">
        <f>D84/E84</f>
        <v>126048.3</v>
      </c>
      <c r="I84">
        <f>WEEKNUM(A84,2)</f>
        <v>22</v>
      </c>
    </row>
    <row r="85" spans="1:9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>
        <f>SUMIFS(Лист2!$C:$C,Лист2!$A:$A,A85,Лист2!$B:$B,B85)</f>
        <v>10</v>
      </c>
      <c r="F85">
        <f>SUMIFS(Лист2!$D:$D,Лист2!$A:$A,A85,Лист2!$B:$B,B85)</f>
        <v>791</v>
      </c>
      <c r="G85">
        <f>SUMIFS(Лист2!$E:$E,Лист2!$A:$A,A85,Лист2!$B:$B,B85)</f>
        <v>697</v>
      </c>
      <c r="H85">
        <f>D85/E85</f>
        <v>111455.25</v>
      </c>
      <c r="I85">
        <f>WEEKNUM(A85,2)</f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>
        <f>SUMIFS(Лист2!$C:$C,Лист2!$A:$A,A86,Лист2!$B:$B,B86)</f>
        <v>19</v>
      </c>
      <c r="F86">
        <f>SUMIFS(Лист2!$D:$D,Лист2!$A:$A,A86,Лист2!$B:$B,B86)</f>
        <v>2080</v>
      </c>
      <c r="G86">
        <f>SUMIFS(Лист2!$E:$E,Лист2!$A:$A,A86,Лист2!$B:$B,B86)</f>
        <v>1844</v>
      </c>
      <c r="H86">
        <f>D86/E86</f>
        <v>169606.18421052632</v>
      </c>
      <c r="I86">
        <f>WEEKNUM(A86,2)</f>
        <v>20</v>
      </c>
    </row>
    <row r="87" spans="1:9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>
        <f>SUMIFS(Лист2!$C:$C,Лист2!$A:$A,A87,Лист2!$B:$B,B87)</f>
        <v>19</v>
      </c>
      <c r="F87">
        <f>SUMIFS(Лист2!$D:$D,Лист2!$A:$A,A87,Лист2!$B:$B,B87)</f>
        <v>1999</v>
      </c>
      <c r="G87">
        <f>SUMIFS(Лист2!$E:$E,Лист2!$A:$A,A87,Лист2!$B:$B,B87)</f>
        <v>1799</v>
      </c>
      <c r="H87">
        <f>D87/E87</f>
        <v>150807.23684210525</v>
      </c>
      <c r="I87">
        <f>WEEKNUM(A87,2)</f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>
        <f>SUMIFS(Лист2!$C:$C,Лист2!$A:$A,A88,Лист2!$B:$B,B88)</f>
        <v>19</v>
      </c>
      <c r="F88">
        <f>SUMIFS(Лист2!$D:$D,Лист2!$A:$A,A88,Лист2!$B:$B,B88)</f>
        <v>1871</v>
      </c>
      <c r="G88">
        <f>SUMIFS(Лист2!$E:$E,Лист2!$A:$A,A88,Лист2!$B:$B,B88)</f>
        <v>1660</v>
      </c>
      <c r="H88">
        <f>D88/E88</f>
        <v>141804.71052631579</v>
      </c>
      <c r="I88">
        <f>WEEKNUM(A88,2)</f>
        <v>20</v>
      </c>
    </row>
    <row r="89" spans="1:9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>
        <f>SUMIFS(Лист2!$C:$C,Лист2!$A:$A,A89,Лист2!$B:$B,B89)</f>
        <v>19</v>
      </c>
      <c r="F89">
        <f>SUMIFS(Лист2!$D:$D,Лист2!$A:$A,A89,Лист2!$B:$B,B89)</f>
        <v>1851</v>
      </c>
      <c r="G89">
        <f>SUMIFS(Лист2!$E:$E,Лист2!$A:$A,A89,Лист2!$B:$B,B89)</f>
        <v>1635</v>
      </c>
      <c r="H89">
        <f>D89/E89</f>
        <v>152745.63157894736</v>
      </c>
      <c r="I89">
        <f>WEEKNUM(A89,2)</f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>
        <f>SUMIFS(Лист2!$C:$C,Лист2!$A:$A,A90,Лист2!$B:$B,B90)</f>
        <v>19</v>
      </c>
      <c r="F90">
        <f>SUMIFS(Лист2!$D:$D,Лист2!$A:$A,A90,Лист2!$B:$B,B90)</f>
        <v>1582</v>
      </c>
      <c r="G90">
        <f>SUMIFS(Лист2!$E:$E,Лист2!$A:$A,A90,Лист2!$B:$B,B90)</f>
        <v>1403</v>
      </c>
      <c r="H90">
        <f>D90/E90</f>
        <v>128998.34210526316</v>
      </c>
      <c r="I90">
        <f>WEEKNUM(A90,2)</f>
        <v>19</v>
      </c>
    </row>
    <row r="91" spans="1:9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>
        <f>SUMIFS(Лист2!$C:$C,Лист2!$A:$A,A91,Лист2!$B:$B,B91)</f>
        <v>18</v>
      </c>
      <c r="F91">
        <f>SUMIFS(Лист2!$D:$D,Лист2!$A:$A,A91,Лист2!$B:$B,B91)</f>
        <v>1534</v>
      </c>
      <c r="G91">
        <f>SUMIFS(Лист2!$E:$E,Лист2!$A:$A,A91,Лист2!$B:$B,B91)</f>
        <v>1369</v>
      </c>
      <c r="H91">
        <f>D91/E91</f>
        <v>133199.33333333334</v>
      </c>
      <c r="I91">
        <f>WEEKNUM(A91,2)</f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>
        <f>SUMIFS(Лист2!$C:$C,Лист2!$A:$A,A92,Лист2!$B:$B,B92)</f>
        <v>19</v>
      </c>
      <c r="F92">
        <f>SUMIFS(Лист2!$D:$D,Лист2!$A:$A,A92,Лист2!$B:$B,B92)</f>
        <v>1217</v>
      </c>
      <c r="G92">
        <f>SUMIFS(Лист2!$E:$E,Лист2!$A:$A,A92,Лист2!$B:$B,B92)</f>
        <v>1048</v>
      </c>
      <c r="H92">
        <f>D92/E92</f>
        <v>94696.34210526316</v>
      </c>
      <c r="I92">
        <f>WEEKNUM(A92,2)</f>
        <v>18</v>
      </c>
    </row>
    <row r="93" spans="1:9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>
        <f>SUMIFS(Лист2!$C:$C,Лист2!$A:$A,A93,Лист2!$B:$B,B93)</f>
        <v>20</v>
      </c>
      <c r="F93">
        <f>SUMIFS(Лист2!$D:$D,Лист2!$A:$A,A93,Лист2!$B:$B,B93)</f>
        <v>2036</v>
      </c>
      <c r="G93">
        <f>SUMIFS(Лист2!$E:$E,Лист2!$A:$A,A93,Лист2!$B:$B,B93)</f>
        <v>1790</v>
      </c>
      <c r="H93">
        <f>D93/E93</f>
        <v>145370.54999999999</v>
      </c>
      <c r="I93">
        <f>WEEKNUM(A93,2)</f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>
        <f>SUMIFS(Лист2!$C:$C,Лист2!$A:$A,A94,Лист2!$B:$B,B94)</f>
        <v>19</v>
      </c>
      <c r="F94">
        <f>SUMIFS(Лист2!$D:$D,Лист2!$A:$A,A94,Лист2!$B:$B,B94)</f>
        <v>1497</v>
      </c>
      <c r="G94">
        <f>SUMIFS(Лист2!$E:$E,Лист2!$A:$A,A94,Лист2!$B:$B,B94)</f>
        <v>1291</v>
      </c>
      <c r="H94">
        <f>D94/E94</f>
        <v>124966.10526315789</v>
      </c>
      <c r="I94">
        <f>WEEKNUM(A94,2)</f>
        <v>18</v>
      </c>
    </row>
    <row r="95" spans="1:9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>
        <f>SUMIFS(Лист2!$C:$C,Лист2!$A:$A,A95,Лист2!$B:$B,B95)</f>
        <v>19</v>
      </c>
      <c r="F95">
        <f>SUMIFS(Лист2!$D:$D,Лист2!$A:$A,A95,Лист2!$B:$B,B95)</f>
        <v>1649</v>
      </c>
      <c r="G95">
        <f>SUMIFS(Лист2!$E:$E,Лист2!$A:$A,A95,Лист2!$B:$B,B95)</f>
        <v>1460</v>
      </c>
      <c r="H95">
        <f>D95/E95</f>
        <v>124759.57894736843</v>
      </c>
      <c r="I95">
        <f>WEEKNUM(A95,2)</f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>
        <f>SUMIFS(Лист2!$C:$C,Лист2!$A:$A,A96,Лист2!$B:$B,B96)</f>
        <v>19</v>
      </c>
      <c r="F96">
        <f>SUMIFS(Лист2!$D:$D,Лист2!$A:$A,A96,Лист2!$B:$B,B96)</f>
        <v>1949</v>
      </c>
      <c r="G96">
        <f>SUMIFS(Лист2!$E:$E,Лист2!$A:$A,A96,Лист2!$B:$B,B96)</f>
        <v>1724</v>
      </c>
      <c r="H96">
        <f>D96/E96</f>
        <v>150167.44736842104</v>
      </c>
      <c r="I96">
        <f>WEEKNUM(A96,2)</f>
        <v>21</v>
      </c>
    </row>
    <row r="97" spans="1:9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>
        <f>SUMIFS(Лист2!$C:$C,Лист2!$A:$A,A97,Лист2!$B:$B,B97)</f>
        <v>19</v>
      </c>
      <c r="F97">
        <f>SUMIFS(Лист2!$D:$D,Лист2!$A:$A,A97,Лист2!$B:$B,B97)</f>
        <v>1889</v>
      </c>
      <c r="G97">
        <f>SUMIFS(Лист2!$E:$E,Лист2!$A:$A,A97,Лист2!$B:$B,B97)</f>
        <v>1690</v>
      </c>
      <c r="H97">
        <f>D97/E97</f>
        <v>141696.31578947368</v>
      </c>
      <c r="I97">
        <f>WEEKNUM(A97,2)</f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>
        <f>SUMIFS(Лист2!$C:$C,Лист2!$A:$A,A98,Лист2!$B:$B,B98)</f>
        <v>19</v>
      </c>
      <c r="F98">
        <f>SUMIFS(Лист2!$D:$D,Лист2!$A:$A,A98,Лист2!$B:$B,B98)</f>
        <v>1417</v>
      </c>
      <c r="G98">
        <f>SUMIFS(Лист2!$E:$E,Лист2!$A:$A,A98,Лист2!$B:$B,B98)</f>
        <v>1245</v>
      </c>
      <c r="H98">
        <f>D98/E98</f>
        <v>109468.42105263157</v>
      </c>
      <c r="I98">
        <f>WEEKNUM(A98,2)</f>
        <v>19</v>
      </c>
    </row>
    <row r="99" spans="1:9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>
        <f>SUMIFS(Лист2!$C:$C,Лист2!$A:$A,A99,Лист2!$B:$B,B99)</f>
        <v>17</v>
      </c>
      <c r="F99">
        <f>SUMIFS(Лист2!$D:$D,Лист2!$A:$A,A99,Лист2!$B:$B,B99)</f>
        <v>1439</v>
      </c>
      <c r="G99">
        <f>SUMIFS(Лист2!$E:$E,Лист2!$A:$A,A99,Лист2!$B:$B,B99)</f>
        <v>1265</v>
      </c>
      <c r="H99">
        <f>D99/E99</f>
        <v>125695.14705882352</v>
      </c>
      <c r="I99">
        <f>WEEKNUM(A99,2)</f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>
        <f>SUMIFS(Лист2!$C:$C,Лист2!$A:$A,A100,Лист2!$B:$B,B100)</f>
        <v>19</v>
      </c>
      <c r="F100">
        <f>SUMIFS(Лист2!$D:$D,Лист2!$A:$A,A100,Лист2!$B:$B,B100)</f>
        <v>1625</v>
      </c>
      <c r="G100">
        <f>SUMIFS(Лист2!$E:$E,Лист2!$A:$A,A100,Лист2!$B:$B,B100)</f>
        <v>1444</v>
      </c>
      <c r="H100">
        <f>D100/E100</f>
        <v>124912.5</v>
      </c>
      <c r="I100">
        <f>WEEKNUM(A100,2)</f>
        <v>20</v>
      </c>
    </row>
    <row r="101" spans="1:9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>
        <f>SUMIFS(Лист2!$C:$C,Лист2!$A:$A,A101,Лист2!$B:$B,B101)</f>
        <v>19</v>
      </c>
      <c r="F101">
        <f>SUMIFS(Лист2!$D:$D,Лист2!$A:$A,A101,Лист2!$B:$B,B101)</f>
        <v>1402</v>
      </c>
      <c r="G101">
        <f>SUMIFS(Лист2!$E:$E,Лист2!$A:$A,A101,Лист2!$B:$B,B101)</f>
        <v>1234</v>
      </c>
      <c r="H101">
        <f>D101/E101</f>
        <v>114226.81578947368</v>
      </c>
      <c r="I101">
        <f>WEEKNUM(A101,2)</f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>
        <f>SUMIFS(Лист2!$C:$C,Лист2!$A:$A,A102,Лист2!$B:$B,B102)</f>
        <v>19</v>
      </c>
      <c r="F102">
        <f>SUMIFS(Лист2!$D:$D,Лист2!$A:$A,A102,Лист2!$B:$B,B102)</f>
        <v>1499</v>
      </c>
      <c r="G102">
        <f>SUMIFS(Лист2!$E:$E,Лист2!$A:$A,A102,Лист2!$B:$B,B102)</f>
        <v>1323</v>
      </c>
      <c r="H102">
        <f>D102/E102</f>
        <v>117501</v>
      </c>
      <c r="I102">
        <f>WEEKNUM(A102,2)</f>
        <v>19</v>
      </c>
    </row>
    <row r="103" spans="1:9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>
        <f>SUMIFS(Лист2!$C:$C,Лист2!$A:$A,A103,Лист2!$B:$B,B103)</f>
        <v>20</v>
      </c>
      <c r="F103">
        <f>SUMIFS(Лист2!$D:$D,Лист2!$A:$A,A103,Лист2!$B:$B,B103)</f>
        <v>2266</v>
      </c>
      <c r="G103">
        <f>SUMIFS(Лист2!$E:$E,Лист2!$A:$A,A103,Лист2!$B:$B,B103)</f>
        <v>1993</v>
      </c>
      <c r="H103">
        <f>D103/E103</f>
        <v>169268.625</v>
      </c>
      <c r="I103">
        <f>WEEKNUM(A103,2)</f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>
        <f>SUMIFS(Лист2!$C:$C,Лист2!$A:$A,A104,Лист2!$B:$B,B104)</f>
        <v>20</v>
      </c>
      <c r="F104">
        <f>SUMIFS(Лист2!$D:$D,Лист2!$A:$A,A104,Лист2!$B:$B,B104)</f>
        <v>2011</v>
      </c>
      <c r="G104">
        <f>SUMIFS(Лист2!$E:$E,Лист2!$A:$A,A104,Лист2!$B:$B,B104)</f>
        <v>1791</v>
      </c>
      <c r="H104">
        <f>D104/E104</f>
        <v>143286.375</v>
      </c>
      <c r="I104">
        <f>WEEKNUM(A104,2)</f>
        <v>22</v>
      </c>
    </row>
    <row r="105" spans="1:9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>
        <f>SUMIFS(Лист2!$C:$C,Лист2!$A:$A,A105,Лист2!$B:$B,B105)</f>
        <v>19</v>
      </c>
      <c r="F105">
        <f>SUMIFS(Лист2!$D:$D,Лист2!$A:$A,A105,Лист2!$B:$B,B105)</f>
        <v>1499</v>
      </c>
      <c r="G105">
        <f>SUMIFS(Лист2!$E:$E,Лист2!$A:$A,A105,Лист2!$B:$B,B105)</f>
        <v>1322</v>
      </c>
      <c r="H105">
        <f>D105/E105</f>
        <v>119350.73684210527</v>
      </c>
      <c r="I105">
        <f>WEEKNUM(A105,2)</f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>
        <f>SUMIFS(Лист2!$C:$C,Лист2!$A:$A,A106,Лист2!$B:$B,B106)</f>
        <v>19</v>
      </c>
      <c r="F106">
        <f>SUMIFS(Лист2!$D:$D,Лист2!$A:$A,A106,Лист2!$B:$B,B106)</f>
        <v>1848</v>
      </c>
      <c r="G106">
        <f>SUMIFS(Лист2!$E:$E,Лист2!$A:$A,A106,Лист2!$B:$B,B106)</f>
        <v>1649</v>
      </c>
      <c r="H106">
        <f>D106/E106</f>
        <v>150647.28947368421</v>
      </c>
      <c r="I106">
        <f>WEEKNUM(A106,2)</f>
        <v>19</v>
      </c>
    </row>
    <row r="107" spans="1:9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>
        <f>SUMIFS(Лист2!$C:$C,Лист2!$A:$A,A107,Лист2!$B:$B,B107)</f>
        <v>19</v>
      </c>
      <c r="F107">
        <f>SUMIFS(Лист2!$D:$D,Лист2!$A:$A,A107,Лист2!$B:$B,B107)</f>
        <v>1522</v>
      </c>
      <c r="G107">
        <f>SUMIFS(Лист2!$E:$E,Лист2!$A:$A,A107,Лист2!$B:$B,B107)</f>
        <v>1340</v>
      </c>
      <c r="H107">
        <f>D107/E107</f>
        <v>119550.23684210527</v>
      </c>
      <c r="I107">
        <f>WEEKNUM(A107,2)</f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>
        <f>SUMIFS(Лист2!$C:$C,Лист2!$A:$A,A108,Лист2!$B:$B,B108)</f>
        <v>19</v>
      </c>
      <c r="F108">
        <f>SUMIFS(Лист2!$D:$D,Лист2!$A:$A,A108,Лист2!$B:$B,B108)</f>
        <v>1530</v>
      </c>
      <c r="G108">
        <f>SUMIFS(Лист2!$E:$E,Лист2!$A:$A,A108,Лист2!$B:$B,B108)</f>
        <v>1338</v>
      </c>
      <c r="H108">
        <f>D108/E108</f>
        <v>123719.60526315789</v>
      </c>
      <c r="I108">
        <f>WEEKNUM(A108,2)</f>
        <v>19</v>
      </c>
    </row>
    <row r="109" spans="1:9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>
        <f>SUMIFS(Лист2!$C:$C,Лист2!$A:$A,A109,Лист2!$B:$B,B109)</f>
        <v>20</v>
      </c>
      <c r="F109">
        <f>SUMIFS(Лист2!$D:$D,Лист2!$A:$A,A109,Лист2!$B:$B,B109)</f>
        <v>2015</v>
      </c>
      <c r="G109">
        <f>SUMIFS(Лист2!$E:$E,Лист2!$A:$A,A109,Лист2!$B:$B,B109)</f>
        <v>1803</v>
      </c>
      <c r="H109">
        <f>D109/E109</f>
        <v>145776.67499999999</v>
      </c>
      <c r="I109">
        <f>WEEKNUM(A109,2)</f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>
        <f>SUMIFS(Лист2!$C:$C,Лист2!$A:$A,A110,Лист2!$B:$B,B110)</f>
        <v>20</v>
      </c>
      <c r="F110">
        <f>SUMIFS(Лист2!$D:$D,Лист2!$A:$A,A110,Лист2!$B:$B,B110)</f>
        <v>2060</v>
      </c>
      <c r="G110">
        <f>SUMIFS(Лист2!$E:$E,Лист2!$A:$A,A110,Лист2!$B:$B,B110)</f>
        <v>1826</v>
      </c>
      <c r="H110">
        <f>D110/E110</f>
        <v>149599.95000000001</v>
      </c>
      <c r="I110">
        <f>WEEKNUM(A110,2)</f>
        <v>22</v>
      </c>
    </row>
    <row r="111" spans="1:9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>
        <f>SUMIFS(Лист2!$C:$C,Лист2!$A:$A,A111,Лист2!$B:$B,B111)</f>
        <v>20</v>
      </c>
      <c r="F111">
        <f>SUMIFS(Лист2!$D:$D,Лист2!$A:$A,A111,Лист2!$B:$B,B111)</f>
        <v>2451</v>
      </c>
      <c r="G111">
        <f>SUMIFS(Лист2!$E:$E,Лист2!$A:$A,A111,Лист2!$B:$B,B111)</f>
        <v>2178</v>
      </c>
      <c r="H111">
        <f>D111/E111</f>
        <v>182708.32500000001</v>
      </c>
      <c r="I111">
        <f>WEEKNUM(A111,2)</f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>
        <f>SUMIFS(Лист2!$C:$C,Лист2!$A:$A,A112,Лист2!$B:$B,B112)</f>
        <v>20</v>
      </c>
      <c r="F112">
        <f>SUMIFS(Лист2!$D:$D,Лист2!$A:$A,A112,Лист2!$B:$B,B112)</f>
        <v>2088</v>
      </c>
      <c r="G112">
        <f>SUMIFS(Лист2!$E:$E,Лист2!$A:$A,A112,Лист2!$B:$B,B112)</f>
        <v>1848</v>
      </c>
      <c r="H112">
        <f>D112/E112</f>
        <v>150210.67499999999</v>
      </c>
      <c r="I112">
        <f>WEEKNUM(A112,2)</f>
        <v>22</v>
      </c>
    </row>
    <row r="113" spans="1:9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>
        <f>SUMIFS(Лист2!$C:$C,Лист2!$A:$A,A113,Лист2!$B:$B,B113)</f>
        <v>129</v>
      </c>
      <c r="F113">
        <f>SUMIFS(Лист2!$D:$D,Лист2!$A:$A,A113,Лист2!$B:$B,B113)</f>
        <v>17914</v>
      </c>
      <c r="G113">
        <f>SUMIFS(Лист2!$E:$E,Лист2!$A:$A,A113,Лист2!$B:$B,B113)</f>
        <v>16631</v>
      </c>
      <c r="H113">
        <f>D113/E113</f>
        <v>249890.41860465117</v>
      </c>
      <c r="I113">
        <f>WEEKNUM(A113,2)</f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>
        <f>SUMIFS(Лист2!$C:$C,Лист2!$A:$A,A114,Лист2!$B:$B,B114)</f>
        <v>129</v>
      </c>
      <c r="F114">
        <f>SUMIFS(Лист2!$D:$D,Лист2!$A:$A,A114,Лист2!$B:$B,B114)</f>
        <v>16191</v>
      </c>
      <c r="G114">
        <f>SUMIFS(Лист2!$E:$E,Лист2!$A:$A,A114,Лист2!$B:$B,B114)</f>
        <v>15102</v>
      </c>
      <c r="H114">
        <f>D114/E114</f>
        <v>210028.09302325582</v>
      </c>
      <c r="I114">
        <f>WEEKNUM(A114,2)</f>
        <v>21</v>
      </c>
    </row>
    <row r="115" spans="1:9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>
        <f>SUMIFS(Лист2!$C:$C,Лист2!$A:$A,A115,Лист2!$B:$B,B115)</f>
        <v>129</v>
      </c>
      <c r="F115">
        <f>SUMIFS(Лист2!$D:$D,Лист2!$A:$A,A115,Лист2!$B:$B,B115)</f>
        <v>15744</v>
      </c>
      <c r="G115">
        <f>SUMIFS(Лист2!$E:$E,Лист2!$A:$A,A115,Лист2!$B:$B,B115)</f>
        <v>14685</v>
      </c>
      <c r="H115">
        <f>D115/E115</f>
        <v>206666.12790697673</v>
      </c>
      <c r="I115">
        <f>WEEKNUM(A115,2)</f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>
        <f>SUMIFS(Лист2!$C:$C,Лист2!$A:$A,A116,Лист2!$B:$B,B116)</f>
        <v>129</v>
      </c>
      <c r="F116">
        <f>SUMIFS(Лист2!$D:$D,Лист2!$A:$A,A116,Лист2!$B:$B,B116)</f>
        <v>16420</v>
      </c>
      <c r="G116">
        <f>SUMIFS(Лист2!$E:$E,Лист2!$A:$A,A116,Лист2!$B:$B,B116)</f>
        <v>15169</v>
      </c>
      <c r="H116">
        <f>D116/E116</f>
        <v>230761.23255813954</v>
      </c>
      <c r="I116">
        <f>WEEKNUM(A116,2)</f>
        <v>19</v>
      </c>
    </row>
    <row r="117" spans="1:9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>
        <f>SUMIFS(Лист2!$C:$C,Лист2!$A:$A,A117,Лист2!$B:$B,B117)</f>
        <v>129</v>
      </c>
      <c r="F117">
        <f>SUMIFS(Лист2!$D:$D,Лист2!$A:$A,A117,Лист2!$B:$B,B117)</f>
        <v>16525</v>
      </c>
      <c r="G117">
        <f>SUMIFS(Лист2!$E:$E,Лист2!$A:$A,A117,Лист2!$B:$B,B117)</f>
        <v>15310</v>
      </c>
      <c r="H117">
        <f>D117/E117</f>
        <v>227580.93023255814</v>
      </c>
      <c r="I117">
        <f>WEEKNUM(A117,2)</f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>
        <f>SUMIFS(Лист2!$C:$C,Лист2!$A:$A,A118,Лист2!$B:$B,B118)</f>
        <v>128</v>
      </c>
      <c r="F118">
        <f>SUMIFS(Лист2!$D:$D,Лист2!$A:$A,A118,Лист2!$B:$B,B118)</f>
        <v>17368</v>
      </c>
      <c r="G118">
        <f>SUMIFS(Лист2!$E:$E,Лист2!$A:$A,A118,Лист2!$B:$B,B118)</f>
        <v>16077</v>
      </c>
      <c r="H118">
        <f>D118/E118</f>
        <v>241166.30859375</v>
      </c>
      <c r="I118">
        <f>WEEKNUM(A118,2)</f>
        <v>18</v>
      </c>
    </row>
    <row r="119" spans="1:9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>
        <f>SUMIFS(Лист2!$C:$C,Лист2!$A:$A,A119,Лист2!$B:$B,B119)</f>
        <v>129</v>
      </c>
      <c r="F119">
        <f>SUMIFS(Лист2!$D:$D,Лист2!$A:$A,A119,Лист2!$B:$B,B119)</f>
        <v>14009</v>
      </c>
      <c r="G119">
        <f>SUMIFS(Лист2!$E:$E,Лист2!$A:$A,A119,Лист2!$B:$B,B119)</f>
        <v>12920</v>
      </c>
      <c r="H119">
        <f>D119/E119</f>
        <v>188697.8023255814</v>
      </c>
      <c r="I119">
        <f>WEEKNUM(A119,2)</f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>
        <f>SUMIFS(Лист2!$C:$C,Лист2!$A:$A,A120,Лист2!$B:$B,B120)</f>
        <v>129</v>
      </c>
      <c r="F120">
        <f>SUMIFS(Лист2!$D:$D,Лист2!$A:$A,A120,Лист2!$B:$B,B120)</f>
        <v>16459</v>
      </c>
      <c r="G120">
        <f>SUMIFS(Лист2!$E:$E,Лист2!$A:$A,A120,Лист2!$B:$B,B120)</f>
        <v>15355</v>
      </c>
      <c r="H120">
        <f>D120/E120</f>
        <v>216066.80541744188</v>
      </c>
      <c r="I120">
        <f>WEEKNUM(A120,2)</f>
        <v>22</v>
      </c>
    </row>
    <row r="121" spans="1:9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>
        <f>SUMIFS(Лист2!$C:$C,Лист2!$A:$A,A121,Лист2!$B:$B,B121)</f>
        <v>129</v>
      </c>
      <c r="F121">
        <f>SUMIFS(Лист2!$D:$D,Лист2!$A:$A,A121,Лист2!$B:$B,B121)</f>
        <v>17002</v>
      </c>
      <c r="G121">
        <f>SUMIFS(Лист2!$E:$E,Лист2!$A:$A,A121,Лист2!$B:$B,B121)</f>
        <v>15570</v>
      </c>
      <c r="H121">
        <f>D121/E121</f>
        <v>240723.38372093023</v>
      </c>
      <c r="I121">
        <f>WEEKNUM(A121,2)</f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>
        <f>SUMIFS(Лист2!$C:$C,Лист2!$A:$A,A122,Лист2!$B:$B,B122)</f>
        <v>129</v>
      </c>
      <c r="F122">
        <f>SUMIFS(Лист2!$D:$D,Лист2!$A:$A,A122,Лист2!$B:$B,B122)</f>
        <v>16387</v>
      </c>
      <c r="G122">
        <f>SUMIFS(Лист2!$E:$E,Лист2!$A:$A,A122,Лист2!$B:$B,B122)</f>
        <v>15322</v>
      </c>
      <c r="H122">
        <f>D122/E122</f>
        <v>225135.81395348837</v>
      </c>
      <c r="I122">
        <f>WEEKNUM(A122,2)</f>
        <v>20</v>
      </c>
    </row>
    <row r="123" spans="1:9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>
        <f>SUMIFS(Лист2!$C:$C,Лист2!$A:$A,A123,Лист2!$B:$B,B123)</f>
        <v>129</v>
      </c>
      <c r="F123">
        <f>SUMIFS(Лист2!$D:$D,Лист2!$A:$A,A123,Лист2!$B:$B,B123)</f>
        <v>16373</v>
      </c>
      <c r="G123">
        <f>SUMIFS(Лист2!$E:$E,Лист2!$A:$A,A123,Лист2!$B:$B,B123)</f>
        <v>15223</v>
      </c>
      <c r="H123">
        <f>D123/E123</f>
        <v>215913.95348837209</v>
      </c>
      <c r="I123">
        <f>WEEKNUM(A123,2)</f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>
        <f>SUMIFS(Лист2!$C:$C,Лист2!$A:$A,A124,Лист2!$B:$B,B124)</f>
        <v>129</v>
      </c>
      <c r="F124">
        <f>SUMIFS(Лист2!$D:$D,Лист2!$A:$A,A124,Лист2!$B:$B,B124)</f>
        <v>17095</v>
      </c>
      <c r="G124">
        <f>SUMIFS(Лист2!$E:$E,Лист2!$A:$A,A124,Лист2!$B:$B,B124)</f>
        <v>15919</v>
      </c>
      <c r="H124">
        <f>D124/E124</f>
        <v>227664.8962593023</v>
      </c>
      <c r="I124">
        <f>WEEKNUM(A124,2)</f>
        <v>21</v>
      </c>
    </row>
    <row r="125" spans="1:9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>
        <f>SUMIFS(Лист2!$C:$C,Лист2!$A:$A,A125,Лист2!$B:$B,B125)</f>
        <v>129</v>
      </c>
      <c r="F125">
        <f>SUMIFS(Лист2!$D:$D,Лист2!$A:$A,A125,Лист2!$B:$B,B125)</f>
        <v>15665</v>
      </c>
      <c r="G125">
        <f>SUMIFS(Лист2!$E:$E,Лист2!$A:$A,A125,Лист2!$B:$B,B125)</f>
        <v>14501</v>
      </c>
      <c r="H125">
        <f>D125/E125</f>
        <v>211460.78406976743</v>
      </c>
      <c r="I125">
        <f>WEEKNUM(A125,2)</f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>
        <f>SUMIFS(Лист2!$C:$C,Лист2!$A:$A,A126,Лист2!$B:$B,B126)</f>
        <v>128</v>
      </c>
      <c r="F126">
        <f>SUMIFS(Лист2!$D:$D,Лист2!$A:$A,A126,Лист2!$B:$B,B126)</f>
        <v>16450</v>
      </c>
      <c r="G126">
        <f>SUMIFS(Лист2!$E:$E,Лист2!$A:$A,A126,Лист2!$B:$B,B126)</f>
        <v>15320</v>
      </c>
      <c r="H126">
        <f>D126/E126</f>
        <v>227804.94140625</v>
      </c>
      <c r="I126">
        <f>WEEKNUM(A126,2)</f>
        <v>18</v>
      </c>
    </row>
    <row r="127" spans="1:9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>
        <f>SUMIFS(Лист2!$C:$C,Лист2!$A:$A,A127,Лист2!$B:$B,B127)</f>
        <v>129</v>
      </c>
      <c r="F127">
        <f>SUMIFS(Лист2!$D:$D,Лист2!$A:$A,A127,Лист2!$B:$B,B127)</f>
        <v>15304</v>
      </c>
      <c r="G127">
        <f>SUMIFS(Лист2!$E:$E,Лист2!$A:$A,A127,Лист2!$B:$B,B127)</f>
        <v>14315</v>
      </c>
      <c r="H127">
        <f>D127/E127</f>
        <v>205174.05813953487</v>
      </c>
      <c r="I127">
        <f>WEEKNUM(A127,2)</f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>
        <f>SUMIFS(Лист2!$C:$C,Лист2!$A:$A,A128,Лист2!$B:$B,B128)</f>
        <v>129</v>
      </c>
      <c r="F128">
        <f>SUMIFS(Лист2!$D:$D,Лист2!$A:$A,A128,Лист2!$B:$B,B128)</f>
        <v>15778</v>
      </c>
      <c r="G128">
        <f>SUMIFS(Лист2!$E:$E,Лист2!$A:$A,A128,Лист2!$B:$B,B128)</f>
        <v>14624</v>
      </c>
      <c r="H128">
        <f>D128/E128</f>
        <v>220364.34883720931</v>
      </c>
      <c r="I128">
        <f>WEEKNUM(A128,2)</f>
        <v>18</v>
      </c>
    </row>
    <row r="129" spans="1:9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>
        <f>SUMIFS(Лист2!$C:$C,Лист2!$A:$A,A129,Лист2!$B:$B,B129)</f>
        <v>129</v>
      </c>
      <c r="F129">
        <f>SUMIFS(Лист2!$D:$D,Лист2!$A:$A,A129,Лист2!$B:$B,B129)</f>
        <v>16376</v>
      </c>
      <c r="G129">
        <f>SUMIFS(Лист2!$E:$E,Лист2!$A:$A,A129,Лист2!$B:$B,B129)</f>
        <v>15197</v>
      </c>
      <c r="H129">
        <f>D129/E129</f>
        <v>223029.53570232558</v>
      </c>
      <c r="I129">
        <f>WEEKNUM(A129,2)</f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>
        <f>SUMIFS(Лист2!$C:$C,Лист2!$A:$A,A130,Лист2!$B:$B,B130)</f>
        <v>129</v>
      </c>
      <c r="F130">
        <f>SUMIFS(Лист2!$D:$D,Лист2!$A:$A,A130,Лист2!$B:$B,B130)</f>
        <v>19856</v>
      </c>
      <c r="G130">
        <f>SUMIFS(Лист2!$E:$E,Лист2!$A:$A,A130,Лист2!$B:$B,B130)</f>
        <v>18325</v>
      </c>
      <c r="H130">
        <f>D130/E130</f>
        <v>272123.46288023255</v>
      </c>
      <c r="I130">
        <f>WEEKNUM(A130,2)</f>
        <v>21</v>
      </c>
    </row>
    <row r="131" spans="1:9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>
        <f>SUMIFS(Лист2!$C:$C,Лист2!$A:$A,A131,Лист2!$B:$B,B131)</f>
        <v>129</v>
      </c>
      <c r="F131">
        <f>SUMIFS(Лист2!$D:$D,Лист2!$A:$A,A131,Лист2!$B:$B,B131)</f>
        <v>15822</v>
      </c>
      <c r="G131">
        <f>SUMIFS(Лист2!$E:$E,Лист2!$A:$A,A131,Лист2!$B:$B,B131)</f>
        <v>14753</v>
      </c>
      <c r="H131">
        <f>D131/E131</f>
        <v>210588.47674418605</v>
      </c>
      <c r="I131">
        <f>WEEKNUM(A131,2)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>
        <f>SUMIFS(Лист2!$C:$C,Лист2!$A:$A,A132,Лист2!$B:$B,B132)</f>
        <v>129</v>
      </c>
      <c r="F132">
        <f>SUMIFS(Лист2!$D:$D,Лист2!$A:$A,A132,Лист2!$B:$B,B132)</f>
        <v>18042</v>
      </c>
      <c r="G132">
        <f>SUMIFS(Лист2!$E:$E,Лист2!$A:$A,A132,Лист2!$B:$B,B132)</f>
        <v>16631</v>
      </c>
      <c r="H132">
        <f>D132/E132</f>
        <v>251309.13953488372</v>
      </c>
      <c r="I132">
        <f>WEEKNUM(A132,2)</f>
        <v>18</v>
      </c>
    </row>
    <row r="133" spans="1:9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>
        <f>SUMIFS(Лист2!$C:$C,Лист2!$A:$A,A133,Лист2!$B:$B,B133)</f>
        <v>129</v>
      </c>
      <c r="F133">
        <f>SUMIFS(Лист2!$D:$D,Лист2!$A:$A,A133,Лист2!$B:$B,B133)</f>
        <v>16437</v>
      </c>
      <c r="G133">
        <f>SUMIFS(Лист2!$E:$E,Лист2!$A:$A,A133,Лист2!$B:$B,B133)</f>
        <v>15285</v>
      </c>
      <c r="H133">
        <f>D133/E133</f>
        <v>228962.6054732558</v>
      </c>
      <c r="I133">
        <f>WEEKNUM(A133,2)</f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>
        <f>SUMIFS(Лист2!$C:$C,Лист2!$A:$A,A134,Лист2!$B:$B,B134)</f>
        <v>129</v>
      </c>
      <c r="F134">
        <f>SUMIFS(Лист2!$D:$D,Лист2!$A:$A,A134,Лист2!$B:$B,B134)</f>
        <v>20452</v>
      </c>
      <c r="G134">
        <f>SUMIFS(Лист2!$E:$E,Лист2!$A:$A,A134,Лист2!$B:$B,B134)</f>
        <v>18857</v>
      </c>
      <c r="H134">
        <f>D134/E134</f>
        <v>295283.38372093026</v>
      </c>
      <c r="I134">
        <f>WEEKNUM(A134,2)</f>
        <v>19</v>
      </c>
    </row>
    <row r="135" spans="1:9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>
        <f>SUMIFS(Лист2!$C:$C,Лист2!$A:$A,A135,Лист2!$B:$B,B135)</f>
        <v>129</v>
      </c>
      <c r="F135">
        <f>SUMIFS(Лист2!$D:$D,Лист2!$A:$A,A135,Лист2!$B:$B,B135)</f>
        <v>14582</v>
      </c>
      <c r="G135">
        <f>SUMIFS(Лист2!$E:$E,Лист2!$A:$A,A135,Лист2!$B:$B,B135)</f>
        <v>13512</v>
      </c>
      <c r="H135">
        <f>D135/E135</f>
        <v>196319.93023255814</v>
      </c>
      <c r="I135">
        <f>WEEKNUM(A135,2)</f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>
        <f>SUMIFS(Лист2!$C:$C,Лист2!$A:$A,A136,Лист2!$B:$B,B136)</f>
        <v>129</v>
      </c>
      <c r="F136">
        <f>SUMIFS(Лист2!$D:$D,Лист2!$A:$A,A136,Лист2!$B:$B,B136)</f>
        <v>16432</v>
      </c>
      <c r="G136">
        <f>SUMIFS(Лист2!$E:$E,Лист2!$A:$A,A136,Лист2!$B:$B,B136)</f>
        <v>15345</v>
      </c>
      <c r="H136">
        <f>D136/E136</f>
        <v>218515.76744186046</v>
      </c>
      <c r="I136">
        <f>WEEKNUM(A136,2)</f>
        <v>21</v>
      </c>
    </row>
    <row r="137" spans="1:9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>
        <f>SUMIFS(Лист2!$C:$C,Лист2!$A:$A,A137,Лист2!$B:$B,B137)</f>
        <v>125</v>
      </c>
      <c r="F137">
        <f>SUMIFS(Лист2!$D:$D,Лист2!$A:$A,A137,Лист2!$B:$B,B137)</f>
        <v>22291</v>
      </c>
      <c r="G137">
        <f>SUMIFS(Лист2!$E:$E,Лист2!$A:$A,A137,Лист2!$B:$B,B137)</f>
        <v>20635</v>
      </c>
      <c r="H137">
        <f>D137/E137</f>
        <v>338589.04800000001</v>
      </c>
      <c r="I137">
        <f>WEEKNUM(A137,2)</f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>
        <f>SUMIFS(Лист2!$C:$C,Лист2!$A:$A,A138,Лист2!$B:$B,B138)</f>
        <v>125</v>
      </c>
      <c r="F138">
        <f>SUMIFS(Лист2!$D:$D,Лист2!$A:$A,A138,Лист2!$B:$B,B138)</f>
        <v>20771</v>
      </c>
      <c r="G138">
        <f>SUMIFS(Лист2!$E:$E,Лист2!$A:$A,A138,Лист2!$B:$B,B138)</f>
        <v>19338</v>
      </c>
      <c r="H138">
        <f>D138/E138</f>
        <v>296185.94400000002</v>
      </c>
      <c r="I138">
        <f>WEEKNUM(A138,2)</f>
        <v>21</v>
      </c>
    </row>
    <row r="139" spans="1:9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>
        <f>SUMIFS(Лист2!$C:$C,Лист2!$A:$A,A139,Лист2!$B:$B,B139)</f>
        <v>125</v>
      </c>
      <c r="F139">
        <f>SUMIFS(Лист2!$D:$D,Лист2!$A:$A,A139,Лист2!$B:$B,B139)</f>
        <v>20079</v>
      </c>
      <c r="G139">
        <f>SUMIFS(Лист2!$E:$E,Лист2!$A:$A,A139,Лист2!$B:$B,B139)</f>
        <v>18721</v>
      </c>
      <c r="H139">
        <f>D139/E139</f>
        <v>294676.53600000002</v>
      </c>
      <c r="I139">
        <f>WEEKNUM(A139,2)</f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>
        <f>SUMIFS(Лист2!$C:$C,Лист2!$A:$A,A140,Лист2!$B:$B,B140)</f>
        <v>125</v>
      </c>
      <c r="F140">
        <f>SUMIFS(Лист2!$D:$D,Лист2!$A:$A,A140,Лист2!$B:$B,B140)</f>
        <v>20132</v>
      </c>
      <c r="G140">
        <f>SUMIFS(Лист2!$E:$E,Лист2!$A:$A,A140,Лист2!$B:$B,B140)</f>
        <v>18617</v>
      </c>
      <c r="H140">
        <f>D140/E140</f>
        <v>309547.41600000003</v>
      </c>
      <c r="I140">
        <f>WEEKNUM(A140,2)</f>
        <v>19</v>
      </c>
    </row>
    <row r="141" spans="1:9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>
        <f>SUMIFS(Лист2!$C:$C,Лист2!$A:$A,A141,Лист2!$B:$B,B141)</f>
        <v>125</v>
      </c>
      <c r="F141">
        <f>SUMIFS(Лист2!$D:$D,Лист2!$A:$A,A141,Лист2!$B:$B,B141)</f>
        <v>20495</v>
      </c>
      <c r="G141">
        <f>SUMIFS(Лист2!$E:$E,Лист2!$A:$A,A141,Лист2!$B:$B,B141)</f>
        <v>18964</v>
      </c>
      <c r="H141">
        <f>D141/E141</f>
        <v>307255.63199999998</v>
      </c>
      <c r="I141">
        <f>WEEKNUM(A141,2)</f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>
        <f>SUMIFS(Лист2!$C:$C,Лист2!$A:$A,A142,Лист2!$B:$B,B142)</f>
        <v>125</v>
      </c>
      <c r="F142">
        <f>SUMIFS(Лист2!$D:$D,Лист2!$A:$A,A142,Лист2!$B:$B,B142)</f>
        <v>21863</v>
      </c>
      <c r="G142">
        <f>SUMIFS(Лист2!$E:$E,Лист2!$A:$A,A142,Лист2!$B:$B,B142)</f>
        <v>20160</v>
      </c>
      <c r="H142">
        <f>D142/E142</f>
        <v>332475.07199999999</v>
      </c>
      <c r="I142">
        <f>WEEKNUM(A142,2)</f>
        <v>18</v>
      </c>
    </row>
    <row r="143" spans="1:9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>
        <f>SUMIFS(Лист2!$C:$C,Лист2!$A:$A,A143,Лист2!$B:$B,B143)</f>
        <v>125</v>
      </c>
      <c r="F143">
        <f>SUMIFS(Лист2!$D:$D,Лист2!$A:$A,A143,Лист2!$B:$B,B143)</f>
        <v>16932</v>
      </c>
      <c r="G143">
        <f>SUMIFS(Лист2!$E:$E,Лист2!$A:$A,A143,Лист2!$B:$B,B143)</f>
        <v>15601</v>
      </c>
      <c r="H143">
        <f>D143/E143</f>
        <v>254749.89600000001</v>
      </c>
      <c r="I143">
        <f>WEEKNUM(A143,2)</f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>
        <f>SUMIFS(Лист2!$C:$C,Лист2!$A:$A,A144,Лист2!$B:$B,B144)</f>
        <v>124</v>
      </c>
      <c r="F144">
        <f>SUMIFS(Лист2!$D:$D,Лист2!$A:$A,A144,Лист2!$B:$B,B144)</f>
        <v>21153</v>
      </c>
      <c r="G144">
        <f>SUMIFS(Лист2!$E:$E,Лист2!$A:$A,A144,Лист2!$B:$B,B144)</f>
        <v>19673</v>
      </c>
      <c r="H144">
        <f>D144/E144</f>
        <v>309402.90725806454</v>
      </c>
      <c r="I144">
        <f>WEEKNUM(A144,2)</f>
        <v>22</v>
      </c>
    </row>
    <row r="145" spans="1:9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>
        <f>SUMIFS(Лист2!$C:$C,Лист2!$A:$A,A145,Лист2!$B:$B,B145)</f>
        <v>125</v>
      </c>
      <c r="F145">
        <f>SUMIFS(Лист2!$D:$D,Лист2!$A:$A,A145,Лист2!$B:$B,B145)</f>
        <v>20602</v>
      </c>
      <c r="G145">
        <f>SUMIFS(Лист2!$E:$E,Лист2!$A:$A,A145,Лист2!$B:$B,B145)</f>
        <v>18845</v>
      </c>
      <c r="H145">
        <f>D145/E145</f>
        <v>320617.54800000001</v>
      </c>
      <c r="I145">
        <f>WEEKNUM(A145,2)</f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>
        <f>SUMIFS(Лист2!$C:$C,Лист2!$A:$A,A146,Лист2!$B:$B,B146)</f>
        <v>125</v>
      </c>
      <c r="F146">
        <f>SUMIFS(Лист2!$D:$D,Лист2!$A:$A,A146,Лист2!$B:$B,B146)</f>
        <v>21106</v>
      </c>
      <c r="G146">
        <f>SUMIFS(Лист2!$E:$E,Лист2!$A:$A,A146,Лист2!$B:$B,B146)</f>
        <v>19651</v>
      </c>
      <c r="H146">
        <f>D146/E146</f>
        <v>316628.61599999998</v>
      </c>
      <c r="I146">
        <f>WEEKNUM(A146,2)</f>
        <v>20</v>
      </c>
    </row>
    <row r="147" spans="1:9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>
        <f>SUMIFS(Лист2!$C:$C,Лист2!$A:$A,A147,Лист2!$B:$B,B147)</f>
        <v>125</v>
      </c>
      <c r="F147">
        <f>SUMIFS(Лист2!$D:$D,Лист2!$A:$A,A147,Лист2!$B:$B,B147)</f>
        <v>20911</v>
      </c>
      <c r="G147">
        <f>SUMIFS(Лист2!$E:$E,Лист2!$A:$A,A147,Лист2!$B:$B,B147)</f>
        <v>19358</v>
      </c>
      <c r="H147">
        <f>D147/E147</f>
        <v>303217.25255999999</v>
      </c>
      <c r="I147">
        <f>WEEKNUM(A147,2)</f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>
        <f>SUMIFS(Лист2!$C:$C,Лист2!$A:$A,A148,Лист2!$B:$B,B148)</f>
        <v>125</v>
      </c>
      <c r="F148">
        <f>SUMIFS(Лист2!$D:$D,Лист2!$A:$A,A148,Лист2!$B:$B,B148)</f>
        <v>21674</v>
      </c>
      <c r="G148">
        <f>SUMIFS(Лист2!$E:$E,Лист2!$A:$A,A148,Лист2!$B:$B,B148)</f>
        <v>20155</v>
      </c>
      <c r="H148">
        <f>D148/E148</f>
        <v>317114.47200000001</v>
      </c>
      <c r="I148">
        <f>WEEKNUM(A148,2)</f>
        <v>21</v>
      </c>
    </row>
    <row r="149" spans="1:9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>
        <f>SUMIFS(Лист2!$C:$C,Лист2!$A:$A,A149,Лист2!$B:$B,B149)</f>
        <v>125</v>
      </c>
      <c r="F149">
        <f>SUMIFS(Лист2!$D:$D,Лист2!$A:$A,A149,Лист2!$B:$B,B149)</f>
        <v>18944</v>
      </c>
      <c r="G149">
        <f>SUMIFS(Лист2!$E:$E,Лист2!$A:$A,A149,Лист2!$B:$B,B149)</f>
        <v>17541</v>
      </c>
      <c r="H149">
        <f>D149/E149</f>
        <v>285373.87199999997</v>
      </c>
      <c r="I149">
        <f>WEEKNUM(A149,2)</f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>
        <f>SUMIFS(Лист2!$C:$C,Лист2!$A:$A,A150,Лист2!$B:$B,B150)</f>
        <v>125</v>
      </c>
      <c r="F150">
        <f>SUMIFS(Лист2!$D:$D,Лист2!$A:$A,A150,Лист2!$B:$B,B150)</f>
        <v>20914</v>
      </c>
      <c r="G150">
        <f>SUMIFS(Лист2!$E:$E,Лист2!$A:$A,A150,Лист2!$B:$B,B150)</f>
        <v>19479</v>
      </c>
      <c r="H150">
        <f>D150/E150</f>
        <v>319344.228</v>
      </c>
      <c r="I150">
        <f>WEEKNUM(A150,2)</f>
        <v>18</v>
      </c>
    </row>
    <row r="151" spans="1:9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>
        <f>SUMIFS(Лист2!$C:$C,Лист2!$A:$A,A151,Лист2!$B:$B,B151)</f>
        <v>125</v>
      </c>
      <c r="F151">
        <f>SUMIFS(Лист2!$D:$D,Лист2!$A:$A,A151,Лист2!$B:$B,B151)</f>
        <v>19965</v>
      </c>
      <c r="G151">
        <f>SUMIFS(Лист2!$E:$E,Лист2!$A:$A,A151,Лист2!$B:$B,B151)</f>
        <v>18573</v>
      </c>
      <c r="H151">
        <f>D151/E151</f>
        <v>297576.924</v>
      </c>
      <c r="I151">
        <f>WEEKNUM(A151,2)</f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>
        <f>SUMIFS(Лист2!$C:$C,Лист2!$A:$A,A152,Лист2!$B:$B,B152)</f>
        <v>129</v>
      </c>
      <c r="F152">
        <f>SUMIFS(Лист2!$D:$D,Лист2!$A:$A,A152,Лист2!$B:$B,B152)</f>
        <v>17235</v>
      </c>
      <c r="G152">
        <f>SUMIFS(Лист2!$E:$E,Лист2!$A:$A,A152,Лист2!$B:$B,B152)</f>
        <v>16052</v>
      </c>
      <c r="H152">
        <f>D152/E152</f>
        <v>227347.02325581395</v>
      </c>
      <c r="I152">
        <f>WEEKNUM(A152,2)</f>
        <v>22</v>
      </c>
    </row>
    <row r="153" spans="1:9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>
        <f>SUMIFS(Лист2!$C:$C,Лист2!$A:$A,A153,Лист2!$B:$B,B153)</f>
        <v>125</v>
      </c>
      <c r="F153">
        <f>SUMIFS(Лист2!$D:$D,Лист2!$A:$A,A153,Лист2!$B:$B,B153)</f>
        <v>18861</v>
      </c>
      <c r="G153">
        <f>SUMIFS(Лист2!$E:$E,Лист2!$A:$A,A153,Лист2!$B:$B,B153)</f>
        <v>17420</v>
      </c>
      <c r="H153">
        <f>D153/E153</f>
        <v>293055.99599999998</v>
      </c>
      <c r="I153">
        <f>WEEKNUM(A153,2)</f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>
        <f>SUMIFS(Лист2!$C:$C,Лист2!$A:$A,A154,Лист2!$B:$B,B154)</f>
        <v>129</v>
      </c>
      <c r="F154">
        <f>SUMIFS(Лист2!$D:$D,Лист2!$A:$A,A154,Лист2!$B:$B,B154)</f>
        <v>20243</v>
      </c>
      <c r="G154">
        <f>SUMIFS(Лист2!$E:$E,Лист2!$A:$A,A154,Лист2!$B:$B,B154)</f>
        <v>18711</v>
      </c>
      <c r="H154">
        <f>D154/E154</f>
        <v>276934.0581395349</v>
      </c>
      <c r="I154">
        <f>WEEKNUM(A154,2)</f>
        <v>22</v>
      </c>
    </row>
    <row r="155" spans="1:9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>
        <f>SUMIFS(Лист2!$C:$C,Лист2!$A:$A,A155,Лист2!$B:$B,B155)</f>
        <v>125</v>
      </c>
      <c r="F155">
        <f>SUMIFS(Лист2!$D:$D,Лист2!$A:$A,A155,Лист2!$B:$B,B155)</f>
        <v>20218</v>
      </c>
      <c r="G155">
        <f>SUMIFS(Лист2!$E:$E,Лист2!$A:$A,A155,Лист2!$B:$B,B155)</f>
        <v>18647</v>
      </c>
      <c r="H155">
        <f>D155/E155</f>
        <v>304738.75199999998</v>
      </c>
      <c r="I155">
        <f>WEEKNUM(A155,2)</f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>
        <f>SUMIFS(Лист2!$C:$C,Лист2!$A:$A,A156,Лист2!$B:$B,B156)</f>
        <v>125</v>
      </c>
      <c r="F156">
        <f>SUMIFS(Лист2!$D:$D,Лист2!$A:$A,A156,Лист2!$B:$B,B156)</f>
        <v>24574</v>
      </c>
      <c r="G156">
        <f>SUMIFS(Лист2!$E:$E,Лист2!$A:$A,A156,Лист2!$B:$B,B156)</f>
        <v>22609</v>
      </c>
      <c r="H156">
        <f>D156/E156</f>
        <v>371264.64</v>
      </c>
      <c r="I156">
        <f>WEEKNUM(A156,2)</f>
        <v>21</v>
      </c>
    </row>
    <row r="157" spans="1:9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>
        <f>SUMIFS(Лист2!$C:$C,Лист2!$A:$A,A157,Лист2!$B:$B,B157)</f>
        <v>129</v>
      </c>
      <c r="F157">
        <f>SUMIFS(Лист2!$D:$D,Лист2!$A:$A,A157,Лист2!$B:$B,B157)</f>
        <v>16453</v>
      </c>
      <c r="G157">
        <f>SUMIFS(Лист2!$E:$E,Лист2!$A:$A,A157,Лист2!$B:$B,B157)</f>
        <v>15289</v>
      </c>
      <c r="H157">
        <f>D157/E157</f>
        <v>218224.84302325582</v>
      </c>
      <c r="I157">
        <f>WEEKNUM(A157,2)</f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>
        <f>SUMIFS(Лист2!$C:$C,Лист2!$A:$A,A158,Лист2!$B:$B,B158)</f>
        <v>124</v>
      </c>
      <c r="F158">
        <f>SUMIFS(Лист2!$D:$D,Лист2!$A:$A,A158,Лист2!$B:$B,B158)</f>
        <v>20358</v>
      </c>
      <c r="G158">
        <f>SUMIFS(Лист2!$E:$E,Лист2!$A:$A,A158,Лист2!$B:$B,B158)</f>
        <v>18890</v>
      </c>
      <c r="H158">
        <f>D158/E158</f>
        <v>297447</v>
      </c>
      <c r="I158">
        <f>WEEKNUM(A158,2)</f>
        <v>22</v>
      </c>
    </row>
    <row r="159" spans="1:9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>
        <f>SUMIFS(Лист2!$C:$C,Лист2!$A:$A,A159,Лист2!$B:$B,B159)</f>
        <v>125</v>
      </c>
      <c r="F159">
        <f>SUMIFS(Лист2!$D:$D,Лист2!$A:$A,A159,Лист2!$B:$B,B159)</f>
        <v>22368</v>
      </c>
      <c r="G159">
        <f>SUMIFS(Лист2!$E:$E,Лист2!$A:$A,A159,Лист2!$B:$B,B159)</f>
        <v>20625</v>
      </c>
      <c r="H159">
        <f>D159/E159</f>
        <v>344229.87599999999</v>
      </c>
      <c r="I159">
        <f>WEEKNUM(A159,2)</f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>
        <f>SUMIFS(Лист2!$C:$C,Лист2!$A:$A,A160,Лист2!$B:$B,B160)</f>
        <v>125</v>
      </c>
      <c r="F160">
        <f>SUMIFS(Лист2!$D:$D,Лист2!$A:$A,A160,Лист2!$B:$B,B160)</f>
        <v>20368</v>
      </c>
      <c r="G160">
        <f>SUMIFS(Лист2!$E:$E,Лист2!$A:$A,A160,Лист2!$B:$B,B160)</f>
        <v>18884</v>
      </c>
      <c r="H160">
        <f>D160/E160</f>
        <v>312087</v>
      </c>
      <c r="I160">
        <f>WEEKNUM(A160,2)</f>
        <v>19</v>
      </c>
    </row>
    <row r="161" spans="1:9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>
        <f>SUMIFS(Лист2!$C:$C,Лист2!$A:$A,A161,Лист2!$B:$B,B161)</f>
        <v>125</v>
      </c>
      <c r="F161">
        <f>SUMIFS(Лист2!$D:$D,Лист2!$A:$A,A161,Лист2!$B:$B,B161)</f>
        <v>24620</v>
      </c>
      <c r="G161">
        <f>SUMIFS(Лист2!$E:$E,Лист2!$A:$A,A161,Лист2!$B:$B,B161)</f>
        <v>22641</v>
      </c>
      <c r="H161">
        <f>D161/E161</f>
        <v>392985.44400000002</v>
      </c>
      <c r="I161">
        <f>WEEKNUM(A161,2)</f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>
        <f>SUMIFS(Лист2!$C:$C,Лист2!$A:$A,A162,Лист2!$B:$B,B162)</f>
        <v>125</v>
      </c>
      <c r="F162">
        <f>SUMIFS(Лист2!$D:$D,Лист2!$A:$A,A162,Лист2!$B:$B,B162)</f>
        <v>18014</v>
      </c>
      <c r="G162">
        <f>SUMIFS(Лист2!$E:$E,Лист2!$A:$A,A162,Лист2!$B:$B,B162)</f>
        <v>16675</v>
      </c>
      <c r="H162">
        <f>D162/E162</f>
        <v>270111.91200000001</v>
      </c>
      <c r="I162">
        <f>WEEKNUM(A162,2)</f>
        <v>19</v>
      </c>
    </row>
    <row r="163" spans="1:9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>
        <f>SUMIFS(Лист2!$C:$C,Лист2!$A:$A,A163,Лист2!$B:$B,B163)</f>
        <v>125</v>
      </c>
      <c r="F163">
        <f>SUMIFS(Лист2!$D:$D,Лист2!$A:$A,A163,Лист2!$B:$B,B163)</f>
        <v>21004</v>
      </c>
      <c r="G163">
        <f>SUMIFS(Лист2!$E:$E,Лист2!$A:$A,A163,Лист2!$B:$B,B163)</f>
        <v>19556</v>
      </c>
      <c r="H163">
        <f>D163/E163</f>
        <v>305531.05200000003</v>
      </c>
      <c r="I163">
        <f>WEEKNUM(A163,2)</f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>
        <f>SUMIFS(Лист2!$C:$C,Лист2!$A:$A,A164,Лист2!$B:$B,B164)</f>
        <v>36</v>
      </c>
      <c r="F164">
        <f>SUMIFS(Лист2!$D:$D,Лист2!$A:$A,A164,Лист2!$B:$B,B164)</f>
        <v>5286</v>
      </c>
      <c r="G164">
        <f>SUMIFS(Лист2!$E:$E,Лист2!$A:$A,A164,Лист2!$B:$B,B164)</f>
        <v>4867</v>
      </c>
      <c r="H164">
        <f>D164/E164</f>
        <v>184782.75</v>
      </c>
      <c r="I164">
        <f>WEEKNUM(A164,2)</f>
        <v>20</v>
      </c>
    </row>
    <row r="165" spans="1:9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>
        <f>SUMIFS(Лист2!$C:$C,Лист2!$A:$A,A165,Лист2!$B:$B,B165)</f>
        <v>36</v>
      </c>
      <c r="F165">
        <f>SUMIFS(Лист2!$D:$D,Лист2!$A:$A,A165,Лист2!$B:$B,B165)</f>
        <v>5094</v>
      </c>
      <c r="G165">
        <f>SUMIFS(Лист2!$E:$E,Лист2!$A:$A,A165,Лист2!$B:$B,B165)</f>
        <v>4716</v>
      </c>
      <c r="H165">
        <f>D165/E165</f>
        <v>171485.08333333334</v>
      </c>
      <c r="I165">
        <f>WEEKNUM(A165,2)</f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>
        <f>SUMIFS(Лист2!$C:$C,Лист2!$A:$A,A166,Лист2!$B:$B,B166)</f>
        <v>36</v>
      </c>
      <c r="F166">
        <f>SUMIFS(Лист2!$D:$D,Лист2!$A:$A,A166,Лист2!$B:$B,B166)</f>
        <v>4918</v>
      </c>
      <c r="G166">
        <f>SUMIFS(Лист2!$E:$E,Лист2!$A:$A,A166,Лист2!$B:$B,B166)</f>
        <v>4554</v>
      </c>
      <c r="H166">
        <f>D166/E166</f>
        <v>165355.625</v>
      </c>
      <c r="I166">
        <f>WEEKNUM(A166,2)</f>
        <v>20</v>
      </c>
    </row>
    <row r="167" spans="1:9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>
        <f>SUMIFS(Лист2!$C:$C,Лист2!$A:$A,A167,Лист2!$B:$B,B167)</f>
        <v>36</v>
      </c>
      <c r="F167">
        <f>SUMIFS(Лист2!$D:$D,Лист2!$A:$A,A167,Лист2!$B:$B,B167)</f>
        <v>5413</v>
      </c>
      <c r="G167">
        <f>SUMIFS(Лист2!$E:$E,Лист2!$A:$A,A167,Лист2!$B:$B,B167)</f>
        <v>4959</v>
      </c>
      <c r="H167">
        <f>D167/E167</f>
        <v>201484.08333333334</v>
      </c>
      <c r="I167">
        <f>WEEKNUM(A167,2)</f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>
        <f>SUMIFS(Лист2!$C:$C,Лист2!$A:$A,A168,Лист2!$B:$B,B168)</f>
        <v>36</v>
      </c>
      <c r="F168">
        <f>SUMIFS(Лист2!$D:$D,Лист2!$A:$A,A168,Лист2!$B:$B,B168)</f>
        <v>4508</v>
      </c>
      <c r="G168">
        <f>SUMIFS(Лист2!$E:$E,Лист2!$A:$A,A168,Лист2!$B:$B,B168)</f>
        <v>4149</v>
      </c>
      <c r="H168">
        <f>D168/E168</f>
        <v>154484.79166666666</v>
      </c>
      <c r="I168">
        <f>WEEKNUM(A168,2)</f>
        <v>19</v>
      </c>
    </row>
    <row r="169" spans="1:9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>
        <f>SUMIFS(Лист2!$C:$C,Лист2!$A:$A,A169,Лист2!$B:$B,B169)</f>
        <v>36</v>
      </c>
      <c r="F169">
        <f>SUMIFS(Лист2!$D:$D,Лист2!$A:$A,A169,Лист2!$B:$B,B169)</f>
        <v>4937</v>
      </c>
      <c r="G169">
        <f>SUMIFS(Лист2!$E:$E,Лист2!$A:$A,A169,Лист2!$B:$B,B169)</f>
        <v>4561</v>
      </c>
      <c r="H169">
        <f>D169/E169</f>
        <v>179290.5</v>
      </c>
      <c r="I169">
        <f>WEEKNUM(A169,2)</f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>
        <f>SUMIFS(Лист2!$C:$C,Лист2!$A:$A,A170,Лист2!$B:$B,B170)</f>
        <v>36</v>
      </c>
      <c r="F170">
        <f>SUMIFS(Лист2!$D:$D,Лист2!$A:$A,A170,Лист2!$B:$B,B170)</f>
        <v>3442</v>
      </c>
      <c r="G170">
        <f>SUMIFS(Лист2!$E:$E,Лист2!$A:$A,A170,Лист2!$B:$B,B170)</f>
        <v>3147</v>
      </c>
      <c r="H170">
        <f>D170/E170</f>
        <v>114395.875</v>
      </c>
      <c r="I170">
        <f>WEEKNUM(A170,2)</f>
        <v>18</v>
      </c>
    </row>
    <row r="171" spans="1:9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>
        <f>SUMIFS(Лист2!$C:$C,Лист2!$A:$A,A171,Лист2!$B:$B,B171)</f>
        <v>36</v>
      </c>
      <c r="F171">
        <f>SUMIFS(Лист2!$D:$D,Лист2!$A:$A,A171,Лист2!$B:$B,B171)</f>
        <v>4770</v>
      </c>
      <c r="G171">
        <f>SUMIFS(Лист2!$E:$E,Лист2!$A:$A,A171,Лист2!$B:$B,B171)</f>
        <v>4424</v>
      </c>
      <c r="H171">
        <f>D171/E171</f>
        <v>162916.375</v>
      </c>
      <c r="I171">
        <f>WEEKNUM(A171,2)</f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>
        <f>SUMIFS(Лист2!$C:$C,Лист2!$A:$A,A172,Лист2!$B:$B,B172)</f>
        <v>36</v>
      </c>
      <c r="F172">
        <f>SUMIFS(Лист2!$D:$D,Лист2!$A:$A,A172,Лист2!$B:$B,B172)</f>
        <v>5457</v>
      </c>
      <c r="G172">
        <f>SUMIFS(Лист2!$E:$E,Лист2!$A:$A,A172,Лист2!$B:$B,B172)</f>
        <v>4916</v>
      </c>
      <c r="H172">
        <f>D172/E172</f>
        <v>195339.58333333334</v>
      </c>
      <c r="I172">
        <f>WEEKNUM(A172,2)</f>
        <v>18</v>
      </c>
    </row>
    <row r="173" spans="1:9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>
        <f>SUMIFS(Лист2!$C:$C,Лист2!$A:$A,A173,Лист2!$B:$B,B173)</f>
        <v>36</v>
      </c>
      <c r="F173">
        <f>SUMIFS(Лист2!$D:$D,Лист2!$A:$A,A173,Лист2!$B:$B,B173)</f>
        <v>4418</v>
      </c>
      <c r="G173">
        <f>SUMIFS(Лист2!$E:$E,Лист2!$A:$A,A173,Лист2!$B:$B,B173)</f>
        <v>4088</v>
      </c>
      <c r="H173">
        <f>D173/E173</f>
        <v>153420.70833333334</v>
      </c>
      <c r="I173">
        <f>WEEKNUM(A173,2)</f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>
        <f>SUMIFS(Лист2!$C:$C,Лист2!$A:$A,A174,Лист2!$B:$B,B174)</f>
        <v>36</v>
      </c>
      <c r="F174">
        <f>SUMIFS(Лист2!$D:$D,Лист2!$A:$A,A174,Лист2!$B:$B,B174)</f>
        <v>4816</v>
      </c>
      <c r="G174">
        <f>SUMIFS(Лист2!$E:$E,Лист2!$A:$A,A174,Лист2!$B:$B,B174)</f>
        <v>4452</v>
      </c>
      <c r="H174">
        <f>D174/E174</f>
        <v>162891.25</v>
      </c>
      <c r="I174">
        <f>WEEKNUM(A174,2)</f>
        <v>21</v>
      </c>
    </row>
    <row r="175" spans="1:9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>
        <f>SUMIFS(Лист2!$C:$C,Лист2!$A:$A,A175,Лист2!$B:$B,B175)</f>
        <v>36</v>
      </c>
      <c r="F175">
        <f>SUMIFS(Лист2!$D:$D,Лист2!$A:$A,A175,Лист2!$B:$B,B175)</f>
        <v>5914</v>
      </c>
      <c r="G175">
        <f>SUMIFS(Лист2!$E:$E,Лист2!$A:$A,A175,Лист2!$B:$B,B175)</f>
        <v>5384</v>
      </c>
      <c r="H175">
        <f>D175/E175</f>
        <v>197831.83333333334</v>
      </c>
      <c r="I175">
        <f>WEEKNUM(A175,2)</f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>
        <f>SUMIFS(Лист2!$C:$C,Лист2!$A:$A,A176,Лист2!$B:$B,B176)</f>
        <v>36</v>
      </c>
      <c r="F176">
        <f>SUMIFS(Лист2!$D:$D,Лист2!$A:$A,A176,Лист2!$B:$B,B176)</f>
        <v>4575</v>
      </c>
      <c r="G176">
        <f>SUMIFS(Лист2!$E:$E,Лист2!$A:$A,A176,Лист2!$B:$B,B176)</f>
        <v>4206</v>
      </c>
      <c r="H176">
        <f>D176/E176</f>
        <v>160292.75</v>
      </c>
      <c r="I176">
        <f>WEEKNUM(A176,2)</f>
        <v>19</v>
      </c>
    </row>
    <row r="177" spans="1:9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>
        <f>SUMIFS(Лист2!$C:$C,Лист2!$A:$A,A177,Лист2!$B:$B,B177)</f>
        <v>36</v>
      </c>
      <c r="F177">
        <f>SUMIFS(Лист2!$D:$D,Лист2!$A:$A,A177,Лист2!$B:$B,B177)</f>
        <v>4923</v>
      </c>
      <c r="G177">
        <f>SUMIFS(Лист2!$E:$E,Лист2!$A:$A,A177,Лист2!$B:$B,B177)</f>
        <v>4560</v>
      </c>
      <c r="H177">
        <f>D177/E177</f>
        <v>174673.5</v>
      </c>
      <c r="I177">
        <f>WEEKNUM(A177,2)</f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>
        <f>SUMIFS(Лист2!$C:$C,Лист2!$A:$A,A178,Лист2!$B:$B,B178)</f>
        <v>36</v>
      </c>
      <c r="F178">
        <f>SUMIFS(Лист2!$D:$D,Лист2!$A:$A,A178,Лист2!$B:$B,B178)</f>
        <v>4967</v>
      </c>
      <c r="G178">
        <f>SUMIFS(Лист2!$E:$E,Лист2!$A:$A,A178,Лист2!$B:$B,B178)</f>
        <v>4583</v>
      </c>
      <c r="H178">
        <f>D178/E178</f>
        <v>175939.66666666666</v>
      </c>
      <c r="I178">
        <f>WEEKNUM(A178,2)</f>
        <v>20</v>
      </c>
    </row>
    <row r="179" spans="1:9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>
        <f>SUMIFS(Лист2!$C:$C,Лист2!$A:$A,A179,Лист2!$B:$B,B179)</f>
        <v>124</v>
      </c>
      <c r="F179">
        <f>SUMIFS(Лист2!$D:$D,Лист2!$A:$A,A179,Лист2!$B:$B,B179)</f>
        <v>21392</v>
      </c>
      <c r="G179">
        <f>SUMIFS(Лист2!$E:$E,Лист2!$A:$A,A179,Лист2!$B:$B,B179)</f>
        <v>19869</v>
      </c>
      <c r="H179">
        <f>D179/E179</f>
        <v>317582.08064516127</v>
      </c>
      <c r="I179">
        <f>WEEKNUM(A179,2)</f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>
        <f>SUMIFS(Лист2!$C:$C,Лист2!$A:$A,A180,Лист2!$B:$B,B180)</f>
        <v>36</v>
      </c>
      <c r="F180">
        <f>SUMIFS(Лист2!$D:$D,Лист2!$A:$A,A180,Лист2!$B:$B,B180)</f>
        <v>4751</v>
      </c>
      <c r="G180">
        <f>SUMIFS(Лист2!$E:$E,Лист2!$A:$A,A180,Лист2!$B:$B,B180)</f>
        <v>4370</v>
      </c>
      <c r="H180">
        <f>D180/E180</f>
        <v>172814.45833333334</v>
      </c>
      <c r="I180">
        <f>WEEKNUM(A180,2)</f>
        <v>18</v>
      </c>
    </row>
    <row r="181" spans="1:9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>
        <f>SUMIFS(Лист2!$C:$C,Лист2!$A:$A,A181,Лист2!$B:$B,B181)</f>
        <v>124</v>
      </c>
      <c r="F181">
        <f>SUMIFS(Лист2!$D:$D,Лист2!$A:$A,A181,Лист2!$B:$B,B181)</f>
        <v>24325</v>
      </c>
      <c r="G181">
        <f>SUMIFS(Лист2!$E:$E,Лист2!$A:$A,A181,Лист2!$B:$B,B181)</f>
        <v>22469</v>
      </c>
      <c r="H181">
        <f>D181/E181</f>
        <v>373958.90322580643</v>
      </c>
      <c r="I181">
        <f>WEEKNUM(A181,2)</f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>
        <f>SUMIFS(Лист2!$C:$C,Лист2!$A:$A,A182,Лист2!$B:$B,B182)</f>
        <v>36</v>
      </c>
      <c r="F182">
        <f>SUMIFS(Лист2!$D:$D,Лист2!$A:$A,A182,Лист2!$B:$B,B182)</f>
        <v>4384</v>
      </c>
      <c r="G182">
        <f>SUMIFS(Лист2!$E:$E,Лист2!$A:$A,A182,Лист2!$B:$B,B182)</f>
        <v>4025</v>
      </c>
      <c r="H182">
        <f>D182/E182</f>
        <v>151503.375</v>
      </c>
      <c r="I182">
        <f>WEEKNUM(A182,2)</f>
        <v>19</v>
      </c>
    </row>
    <row r="183" spans="1:9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>
        <f>SUMIFS(Лист2!$C:$C,Лист2!$A:$A,A183,Лист2!$B:$B,B183)</f>
        <v>36</v>
      </c>
      <c r="F183">
        <f>SUMIFS(Лист2!$D:$D,Лист2!$A:$A,A183,Лист2!$B:$B,B183)</f>
        <v>5651</v>
      </c>
      <c r="G183">
        <f>SUMIFS(Лист2!$E:$E,Лист2!$A:$A,A183,Лист2!$B:$B,B183)</f>
        <v>5212</v>
      </c>
      <c r="H183">
        <f>D183/E183</f>
        <v>199253.25</v>
      </c>
      <c r="I183">
        <f>WEEKNUM(A183,2)</f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>
        <f>SUMIFS(Лист2!$C:$C,Лист2!$A:$A,A184,Лист2!$B:$B,B184)</f>
        <v>124</v>
      </c>
      <c r="F184">
        <f>SUMIFS(Лист2!$D:$D,Лист2!$A:$A,A184,Лист2!$B:$B,B184)</f>
        <v>20868</v>
      </c>
      <c r="G184">
        <f>SUMIFS(Лист2!$E:$E,Лист2!$A:$A,A184,Лист2!$B:$B,B184)</f>
        <v>19342</v>
      </c>
      <c r="H184">
        <f>D184/E184</f>
        <v>306029.74596774194</v>
      </c>
      <c r="I184">
        <f>WEEKNUM(A184,2)</f>
        <v>22</v>
      </c>
    </row>
    <row r="185" spans="1:9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>
        <f>SUMIFS(Лист2!$C:$C,Лист2!$A:$A,A185,Лист2!$B:$B,B185)</f>
        <v>36</v>
      </c>
      <c r="F185">
        <f>SUMIFS(Лист2!$D:$D,Лист2!$A:$A,A185,Лист2!$B:$B,B185)</f>
        <v>4641</v>
      </c>
      <c r="G185">
        <f>SUMIFS(Лист2!$E:$E,Лист2!$A:$A,A185,Лист2!$B:$B,B185)</f>
        <v>4274</v>
      </c>
      <c r="H185">
        <f>D185/E185</f>
        <v>158462.5</v>
      </c>
      <c r="I185">
        <f>WEEKNUM(A185,2)</f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>
        <f>SUMIFS(Лист2!$C:$C,Лист2!$A:$A,A186,Лист2!$B:$B,B186)</f>
        <v>36</v>
      </c>
      <c r="F186">
        <f>SUMIFS(Лист2!$D:$D,Лист2!$A:$A,A186,Лист2!$B:$B,B186)</f>
        <v>5143</v>
      </c>
      <c r="G186">
        <f>SUMIFS(Лист2!$E:$E,Лист2!$A:$A,A186,Лист2!$B:$B,B186)</f>
        <v>4715</v>
      </c>
      <c r="H186">
        <f>D186/E186</f>
        <v>189433.16666666666</v>
      </c>
      <c r="I186">
        <f>WEEKNUM(A186,2)</f>
        <v>18</v>
      </c>
    </row>
    <row r="187" spans="1:9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>
        <f>SUMIFS(Лист2!$C:$C,Лист2!$A:$A,A187,Лист2!$B:$B,B187)</f>
        <v>36</v>
      </c>
      <c r="F187">
        <f>SUMIFS(Лист2!$D:$D,Лист2!$A:$A,A187,Лист2!$B:$B,B187)</f>
        <v>5746</v>
      </c>
      <c r="G187">
        <f>SUMIFS(Лист2!$E:$E,Лист2!$A:$A,A187,Лист2!$B:$B,B187)</f>
        <v>5277</v>
      </c>
      <c r="H187">
        <f>D187/E187</f>
        <v>214613.04166666666</v>
      </c>
      <c r="I187">
        <f>WEEKNUM(A187,2)</f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>
        <f>SUMIFS(Лист2!$C:$C,Лист2!$A:$A,A188,Лист2!$B:$B,B188)</f>
        <v>36</v>
      </c>
      <c r="F188">
        <f>SUMIFS(Лист2!$D:$D,Лист2!$A:$A,A188,Лист2!$B:$B,B188)</f>
        <v>4199</v>
      </c>
      <c r="G188">
        <f>SUMIFS(Лист2!$E:$E,Лист2!$A:$A,A188,Лист2!$B:$B,B188)</f>
        <v>3867</v>
      </c>
      <c r="H188">
        <f>D188/E188</f>
        <v>149047.45833333334</v>
      </c>
      <c r="I188">
        <f>WEEKNUM(A188,2)</f>
        <v>19</v>
      </c>
    </row>
    <row r="189" spans="1:9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>
        <f>SUMIFS(Лист2!$C:$C,Лист2!$A:$A,A189,Лист2!$B:$B,B189)</f>
        <v>36</v>
      </c>
      <c r="F189">
        <f>SUMIFS(Лист2!$D:$D,Лист2!$A:$A,A189,Лист2!$B:$B,B189)</f>
        <v>4826</v>
      </c>
      <c r="G189">
        <f>SUMIFS(Лист2!$E:$E,Лист2!$A:$A,A189,Лист2!$B:$B,B189)</f>
        <v>4426</v>
      </c>
      <c r="H189">
        <f>D189/E189</f>
        <v>171551.04166666666</v>
      </c>
      <c r="I189">
        <f>WEEKNUM(A189,2)</f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>
        <f>SUMIFS(Лист2!$C:$C,Лист2!$A:$A,A190,Лист2!$B:$B,B190)</f>
        <v>36</v>
      </c>
      <c r="F190">
        <f>SUMIFS(Лист2!$D:$D,Лист2!$A:$A,A190,Лист2!$B:$B,B190)</f>
        <v>4915</v>
      </c>
      <c r="G190">
        <f>SUMIFS(Лист2!$E:$E,Лист2!$A:$A,A190,Лист2!$B:$B,B190)</f>
        <v>4562</v>
      </c>
      <c r="H190">
        <f>D190/E190</f>
        <v>169395.45833333334</v>
      </c>
      <c r="I190">
        <f>WEEKNUM(A190,2)</f>
        <v>21</v>
      </c>
    </row>
    <row r="191" spans="1:9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>
        <f>SUMIFS(Лист2!$C:$C,Лист2!$A:$A,A191,Лист2!$B:$B,B191)</f>
        <v>21</v>
      </c>
      <c r="F191">
        <f>SUMIFS(Лист2!$D:$D,Лист2!$A:$A,A191,Лист2!$B:$B,B191)</f>
        <v>2427</v>
      </c>
      <c r="G191">
        <f>SUMIFS(Лист2!$E:$E,Лист2!$A:$A,A191,Лист2!$B:$B,B191)</f>
        <v>2213</v>
      </c>
      <c r="H191">
        <f>D191/E191</f>
        <v>191673.71428571429</v>
      </c>
      <c r="I191">
        <f>WEEKNUM(A191,2)</f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>
        <f>SUMIFS(Лист2!$C:$C,Лист2!$A:$A,A192,Лист2!$B:$B,B192)</f>
        <v>21</v>
      </c>
      <c r="F192">
        <f>SUMIFS(Лист2!$D:$D,Лист2!$A:$A,A192,Лист2!$B:$B,B192)</f>
        <v>2245</v>
      </c>
      <c r="G192">
        <f>SUMIFS(Лист2!$E:$E,Лист2!$A:$A,A192,Лист2!$B:$B,B192)</f>
        <v>2053</v>
      </c>
      <c r="H192">
        <f>D192/E192</f>
        <v>169187.5</v>
      </c>
      <c r="I192">
        <f>WEEKNUM(A192,2)</f>
        <v>21</v>
      </c>
    </row>
    <row r="193" spans="1:9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>
        <f>SUMIFS(Лист2!$C:$C,Лист2!$A:$A,A193,Лист2!$B:$B,B193)</f>
        <v>21</v>
      </c>
      <c r="F193">
        <f>SUMIFS(Лист2!$D:$D,Лист2!$A:$A,A193,Лист2!$B:$B,B193)</f>
        <v>2054</v>
      </c>
      <c r="G193">
        <f>SUMIFS(Лист2!$E:$E,Лист2!$A:$A,A193,Лист2!$B:$B,B193)</f>
        <v>1883</v>
      </c>
      <c r="H193">
        <f>D193/E193</f>
        <v>151959.78571428571</v>
      </c>
      <c r="I193">
        <f>WEEKNUM(A193,2)</f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>
        <f>SUMIFS(Лист2!$C:$C,Лист2!$A:$A,A194,Лист2!$B:$B,B194)</f>
        <v>21</v>
      </c>
      <c r="F194">
        <f>SUMIFS(Лист2!$D:$D,Лист2!$A:$A,A194,Лист2!$B:$B,B194)</f>
        <v>1891</v>
      </c>
      <c r="G194">
        <f>SUMIFS(Лист2!$E:$E,Лист2!$A:$A,A194,Лист2!$B:$B,B194)</f>
        <v>1709</v>
      </c>
      <c r="H194">
        <f>D194/E194</f>
        <v>146899.64285714287</v>
      </c>
      <c r="I194">
        <f>WEEKNUM(A194,2)</f>
        <v>19</v>
      </c>
    </row>
    <row r="195" spans="1:9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>
        <f>SUMIFS(Лист2!$C:$C,Лист2!$A:$A,A195,Лист2!$B:$B,B195)</f>
        <v>20</v>
      </c>
      <c r="F195">
        <f>SUMIFS(Лист2!$D:$D,Лист2!$A:$A,A195,Лист2!$B:$B,B195)</f>
        <v>1804</v>
      </c>
      <c r="G195">
        <f>SUMIFS(Лист2!$E:$E,Лист2!$A:$A,A195,Лист2!$B:$B,B195)</f>
        <v>1638</v>
      </c>
      <c r="H195">
        <f>D195/E195</f>
        <v>140892.67499999999</v>
      </c>
      <c r="I195">
        <f>WEEKNUM(A195,2)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>
        <f>SUMIFS(Лист2!$C:$C,Лист2!$A:$A,A196,Лист2!$B:$B,B196)</f>
        <v>19</v>
      </c>
      <c r="F196">
        <f>SUMIFS(Лист2!$D:$D,Лист2!$A:$A,A196,Лист2!$B:$B,B196)</f>
        <v>1676</v>
      </c>
      <c r="G196">
        <f>SUMIFS(Лист2!$E:$E,Лист2!$A:$A,A196,Лист2!$B:$B,B196)</f>
        <v>1516</v>
      </c>
      <c r="H196">
        <f>D196/E196</f>
        <v>138294.47368421053</v>
      </c>
      <c r="I196">
        <f>WEEKNUM(A196,2)</f>
        <v>18</v>
      </c>
    </row>
    <row r="197" spans="1:9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>
        <f>SUMIFS(Лист2!$C:$C,Лист2!$A:$A,A197,Лист2!$B:$B,B197)</f>
        <v>20</v>
      </c>
      <c r="F197">
        <f>SUMIFS(Лист2!$D:$D,Лист2!$A:$A,A197,Лист2!$B:$B,B197)</f>
        <v>1613</v>
      </c>
      <c r="G197">
        <f>SUMIFS(Лист2!$E:$E,Лист2!$A:$A,A197,Лист2!$B:$B,B197)</f>
        <v>1457</v>
      </c>
      <c r="H197">
        <f>D197/E197</f>
        <v>123523.27499999999</v>
      </c>
      <c r="I197">
        <f>WEEKNUM(A197,2)</f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>
        <f>SUMIFS(Лист2!$C:$C,Лист2!$A:$A,A198,Лист2!$B:$B,B198)</f>
        <v>21</v>
      </c>
      <c r="F198">
        <f>SUMIFS(Лист2!$D:$D,Лист2!$A:$A,A198,Лист2!$B:$B,B198)</f>
        <v>2418</v>
      </c>
      <c r="G198">
        <f>SUMIFS(Лист2!$E:$E,Лист2!$A:$A,A198,Лист2!$B:$B,B198)</f>
        <v>2215</v>
      </c>
      <c r="H198">
        <f>D198/E198</f>
        <v>176205.28571428571</v>
      </c>
      <c r="I198">
        <f>WEEKNUM(A198,2)</f>
        <v>22</v>
      </c>
    </row>
    <row r="199" spans="1:9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>
        <f>SUMIFS(Лист2!$C:$C,Лист2!$A:$A,A199,Лист2!$B:$B,B199)</f>
        <v>20</v>
      </c>
      <c r="F199">
        <f>SUMIFS(Лист2!$D:$D,Лист2!$A:$A,A199,Лист2!$B:$B,B199)</f>
        <v>2468</v>
      </c>
      <c r="G199">
        <f>SUMIFS(Лист2!$E:$E,Лист2!$A:$A,A199,Лист2!$B:$B,B199)</f>
        <v>2221</v>
      </c>
      <c r="H199">
        <f>D199/E199</f>
        <v>214662.07500000001</v>
      </c>
      <c r="I199">
        <f>WEEKNUM(A199,2)</f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>
        <f>SUMIFS(Лист2!$C:$C,Лист2!$A:$A,A200,Лист2!$B:$B,B200)</f>
        <v>21</v>
      </c>
      <c r="F200">
        <f>SUMIFS(Лист2!$D:$D,Лист2!$A:$A,A200,Лист2!$B:$B,B200)</f>
        <v>1926</v>
      </c>
      <c r="G200">
        <f>SUMIFS(Лист2!$E:$E,Лист2!$A:$A,A200,Лист2!$B:$B,B200)</f>
        <v>1745</v>
      </c>
      <c r="H200">
        <f>D200/E200</f>
        <v>146695.92857142858</v>
      </c>
      <c r="I200">
        <f>WEEKNUM(A200,2)</f>
        <v>20</v>
      </c>
    </row>
    <row r="201" spans="1:9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>
        <f>SUMIFS(Лист2!$C:$C,Лист2!$A:$A,A201,Лист2!$B:$B,B201)</f>
        <v>21</v>
      </c>
      <c r="F201">
        <f>SUMIFS(Лист2!$D:$D,Лист2!$A:$A,A201,Лист2!$B:$B,B201)</f>
        <v>2335</v>
      </c>
      <c r="G201">
        <f>SUMIFS(Лист2!$E:$E,Лист2!$A:$A,A201,Лист2!$B:$B,B201)</f>
        <v>2126</v>
      </c>
      <c r="H201">
        <f>D201/E201</f>
        <v>181447.35714285713</v>
      </c>
      <c r="I201">
        <f>WEEKNUM(A201,2)</f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>
        <f>SUMIFS(Лист2!$C:$C,Лист2!$A:$A,A202,Лист2!$B:$B,B202)</f>
        <v>21</v>
      </c>
      <c r="F202">
        <f>SUMIFS(Лист2!$D:$D,Лист2!$A:$A,A202,Лист2!$B:$B,B202)</f>
        <v>2410</v>
      </c>
      <c r="G202">
        <f>SUMIFS(Лист2!$E:$E,Лист2!$A:$A,A202,Лист2!$B:$B,B202)</f>
        <v>2202</v>
      </c>
      <c r="H202">
        <f>D202/E202</f>
        <v>186618.42857142858</v>
      </c>
      <c r="I202">
        <f>WEEKNUM(A202,2)</f>
        <v>21</v>
      </c>
    </row>
    <row r="203" spans="1:9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>
        <f>SUMIFS(Лист2!$C:$C,Лист2!$A:$A,A203,Лист2!$B:$B,B203)</f>
        <v>20</v>
      </c>
      <c r="F203">
        <f>SUMIFS(Лист2!$D:$D,Лист2!$A:$A,A203,Лист2!$B:$B,B203)</f>
        <v>1757</v>
      </c>
      <c r="G203">
        <f>SUMIFS(Лист2!$E:$E,Лист2!$A:$A,A203,Лист2!$B:$B,B203)</f>
        <v>1596</v>
      </c>
      <c r="H203">
        <f>D203/E203</f>
        <v>132434.4</v>
      </c>
      <c r="I203">
        <f>WEEKNUM(A203,2)</f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>
        <f>SUMIFS(Лист2!$C:$C,Лист2!$A:$A,A204,Лист2!$B:$B,B204)</f>
        <v>19</v>
      </c>
      <c r="F204">
        <f>SUMIFS(Лист2!$D:$D,Лист2!$A:$A,A204,Лист2!$B:$B,B204)</f>
        <v>1846</v>
      </c>
      <c r="G204">
        <f>SUMIFS(Лист2!$E:$E,Лист2!$A:$A,A204,Лист2!$B:$B,B204)</f>
        <v>1681</v>
      </c>
      <c r="H204">
        <f>D204/E204</f>
        <v>150715.81578947368</v>
      </c>
      <c r="I204">
        <f>WEEKNUM(A204,2)</f>
        <v>18</v>
      </c>
    </row>
    <row r="205" spans="1:9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>
        <f>SUMIFS(Лист2!$C:$C,Лист2!$A:$A,A205,Лист2!$B:$B,B205)</f>
        <v>21</v>
      </c>
      <c r="F205">
        <f>SUMIFS(Лист2!$D:$D,Лист2!$A:$A,A205,Лист2!$B:$B,B205)</f>
        <v>2061</v>
      </c>
      <c r="G205">
        <f>SUMIFS(Лист2!$E:$E,Лист2!$A:$A,A205,Лист2!$B:$B,B205)</f>
        <v>1876</v>
      </c>
      <c r="H205">
        <f>D205/E205</f>
        <v>156574.71428571429</v>
      </c>
      <c r="I205">
        <f>WEEKNUM(A205,2)</f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>
        <f>SUMIFS(Лист2!$C:$C,Лист2!$A:$A,A206,Лист2!$B:$B,B206)</f>
        <v>37</v>
      </c>
      <c r="F206">
        <f>SUMIFS(Лист2!$D:$D,Лист2!$A:$A,A206,Лист2!$B:$B,B206)</f>
        <v>5215</v>
      </c>
      <c r="G206">
        <f>SUMIFS(Лист2!$E:$E,Лист2!$A:$A,A206,Лист2!$B:$B,B206)</f>
        <v>4848</v>
      </c>
      <c r="H206">
        <f>D206/E206</f>
        <v>175698.60810810811</v>
      </c>
      <c r="I206">
        <f>WEEKNUM(A206,2)</f>
        <v>22</v>
      </c>
    </row>
    <row r="207" spans="1:9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>
        <f>SUMIFS(Лист2!$C:$C,Лист2!$A:$A,A207,Лист2!$B:$B,B207)</f>
        <v>20</v>
      </c>
      <c r="F207">
        <f>SUMIFS(Лист2!$D:$D,Лист2!$A:$A,A207,Лист2!$B:$B,B207)</f>
        <v>1716</v>
      </c>
      <c r="G207">
        <f>SUMIFS(Лист2!$E:$E,Лист2!$A:$A,A207,Лист2!$B:$B,B207)</f>
        <v>1561</v>
      </c>
      <c r="H207">
        <f>D207/E207</f>
        <v>136000.125</v>
      </c>
      <c r="I207">
        <f>WEEKNUM(A207,2)</f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>
        <f>SUMIFS(Лист2!$C:$C,Лист2!$A:$A,A208,Лист2!$B:$B,B208)</f>
        <v>37</v>
      </c>
      <c r="F208">
        <f>SUMIFS(Лист2!$D:$D,Лист2!$A:$A,A208,Лист2!$B:$B,B208)</f>
        <v>6645</v>
      </c>
      <c r="G208">
        <f>SUMIFS(Лист2!$E:$E,Лист2!$A:$A,A208,Лист2!$B:$B,B208)</f>
        <v>6122</v>
      </c>
      <c r="H208">
        <f>D208/E208</f>
        <v>245902.33783783784</v>
      </c>
      <c r="I208">
        <f>WEEKNUM(A208,2)</f>
        <v>22</v>
      </c>
    </row>
    <row r="209" spans="1:9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>
        <f>SUMIFS(Лист2!$C:$C,Лист2!$A:$A,A209,Лист2!$B:$B,B209)</f>
        <v>20</v>
      </c>
      <c r="F209">
        <f>SUMIFS(Лист2!$D:$D,Лист2!$A:$A,A209,Лист2!$B:$B,B209)</f>
        <v>1747</v>
      </c>
      <c r="G209">
        <f>SUMIFS(Лист2!$E:$E,Лист2!$A:$A,A209,Лист2!$B:$B,B209)</f>
        <v>1570</v>
      </c>
      <c r="H209">
        <f>D209/E209</f>
        <v>136906.35</v>
      </c>
      <c r="I209">
        <f>WEEKNUM(A209,2)</f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>
        <f>SUMIFS(Лист2!$C:$C,Лист2!$A:$A,A210,Лист2!$B:$B,B210)</f>
        <v>21</v>
      </c>
      <c r="F210">
        <f>SUMIFS(Лист2!$D:$D,Лист2!$A:$A,A210,Лист2!$B:$B,B210)</f>
        <v>2460</v>
      </c>
      <c r="G210">
        <f>SUMIFS(Лист2!$E:$E,Лист2!$A:$A,A210,Лист2!$B:$B,B210)</f>
        <v>2226</v>
      </c>
      <c r="H210">
        <f>D210/E210</f>
        <v>184915</v>
      </c>
      <c r="I210">
        <f>WEEKNUM(A210,2)</f>
        <v>21</v>
      </c>
    </row>
    <row r="211" spans="1:9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>
        <f>SUMIFS(Лист2!$C:$C,Лист2!$A:$A,A211,Лист2!$B:$B,B211)</f>
        <v>37</v>
      </c>
      <c r="F211">
        <f>SUMIFS(Лист2!$D:$D,Лист2!$A:$A,A211,Лист2!$B:$B,B211)</f>
        <v>4840</v>
      </c>
      <c r="G211">
        <f>SUMIFS(Лист2!$E:$E,Лист2!$A:$A,A211,Лист2!$B:$B,B211)</f>
        <v>4475</v>
      </c>
      <c r="H211">
        <f>D211/E211</f>
        <v>164917.05405405405</v>
      </c>
      <c r="I211">
        <f>WEEKNUM(A211,2)</f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>
        <f>SUMIFS(Лист2!$C:$C,Лист2!$A:$A,A212,Лист2!$B:$B,B212)</f>
        <v>21</v>
      </c>
      <c r="F212">
        <f>SUMIFS(Лист2!$D:$D,Лист2!$A:$A,A212,Лист2!$B:$B,B212)</f>
        <v>2330</v>
      </c>
      <c r="G212">
        <f>SUMIFS(Лист2!$E:$E,Лист2!$A:$A,A212,Лист2!$B:$B,B212)</f>
        <v>2142</v>
      </c>
      <c r="H212">
        <f>D212/E212</f>
        <v>169602.64285714287</v>
      </c>
      <c r="I212">
        <f>WEEKNUM(A212,2)</f>
        <v>22</v>
      </c>
    </row>
    <row r="213" spans="1:9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>
        <f>SUMIFS(Лист2!$C:$C,Лист2!$A:$A,A213,Лист2!$B:$B,B213)</f>
        <v>20</v>
      </c>
      <c r="F213">
        <f>SUMIFS(Лист2!$D:$D,Лист2!$A:$A,A213,Лист2!$B:$B,B213)</f>
        <v>1756</v>
      </c>
      <c r="G213">
        <f>SUMIFS(Лист2!$E:$E,Лист2!$A:$A,A213,Лист2!$B:$B,B213)</f>
        <v>1586</v>
      </c>
      <c r="H213">
        <f>D213/E213</f>
        <v>142665.52499999999</v>
      </c>
      <c r="I213">
        <f>WEEKNUM(A213,2)</f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>
        <f>SUMIFS(Лист2!$C:$C,Лист2!$A:$A,A214,Лист2!$B:$B,B214)</f>
        <v>21</v>
      </c>
      <c r="F214">
        <f>SUMIFS(Лист2!$D:$D,Лист2!$A:$A,A214,Лист2!$B:$B,B214)</f>
        <v>2120</v>
      </c>
      <c r="G214">
        <f>SUMIFS(Лист2!$E:$E,Лист2!$A:$A,A214,Лист2!$B:$B,B214)</f>
        <v>1921</v>
      </c>
      <c r="H214">
        <f>D214/E214</f>
        <v>169004.64285714287</v>
      </c>
      <c r="I214">
        <f>WEEKNUM(A214,2)</f>
        <v>19</v>
      </c>
    </row>
    <row r="215" spans="1:9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>
        <f>SUMIFS(Лист2!$C:$C,Лист2!$A:$A,A215,Лист2!$B:$B,B215)</f>
        <v>21</v>
      </c>
      <c r="F215">
        <f>SUMIFS(Лист2!$D:$D,Лист2!$A:$A,A215,Лист2!$B:$B,B215)</f>
        <v>1957</v>
      </c>
      <c r="G215">
        <f>SUMIFS(Лист2!$E:$E,Лист2!$A:$A,A215,Лист2!$B:$B,B215)</f>
        <v>1755</v>
      </c>
      <c r="H215">
        <f>D215/E215</f>
        <v>152445.64285714287</v>
      </c>
      <c r="I215">
        <f>WEEKNUM(A215,2)</f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>
        <f>SUMIFS(Лист2!$C:$C,Лист2!$A:$A,A216,Лист2!$B:$B,B216)</f>
        <v>21</v>
      </c>
      <c r="F216">
        <f>SUMIFS(Лист2!$D:$D,Лист2!$A:$A,A216,Лист2!$B:$B,B216)</f>
        <v>1879</v>
      </c>
      <c r="G216">
        <f>SUMIFS(Лист2!$E:$E,Лист2!$A:$A,A216,Лист2!$B:$B,B216)</f>
        <v>1695</v>
      </c>
      <c r="H216">
        <f>D216/E216</f>
        <v>139738.28571428571</v>
      </c>
      <c r="I216">
        <f>WEEKNUM(A216,2)</f>
        <v>19</v>
      </c>
    </row>
    <row r="217" spans="1:9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>
        <f>SUMIFS(Лист2!$C:$C,Лист2!$A:$A,A217,Лист2!$B:$B,B217)</f>
        <v>21</v>
      </c>
      <c r="F217">
        <f>SUMIFS(Лист2!$D:$D,Лист2!$A:$A,A217,Лист2!$B:$B,B217)</f>
        <v>2254</v>
      </c>
      <c r="G217">
        <f>SUMIFS(Лист2!$E:$E,Лист2!$A:$A,A217,Лист2!$B:$B,B217)</f>
        <v>2061</v>
      </c>
      <c r="H217">
        <f>D217/E217</f>
        <v>164252.5</v>
      </c>
      <c r="I217">
        <f>WEEKNUM(A217,2)</f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>
        <f>SUMIFS(Лист2!$C:$C,Лист2!$A:$A,A218,Лист2!$B:$B,B218)</f>
        <v>23</v>
      </c>
      <c r="F218">
        <f>SUMIFS(Лист2!$D:$D,Лист2!$A:$A,A218,Лист2!$B:$B,B218)</f>
        <v>2522</v>
      </c>
      <c r="G218">
        <f>SUMIFS(Лист2!$E:$E,Лист2!$A:$A,A218,Лист2!$B:$B,B218)</f>
        <v>2295</v>
      </c>
      <c r="H218">
        <f>D218/E218</f>
        <v>173658.84782608695</v>
      </c>
      <c r="I218">
        <f>WEEKNUM(A218,2)</f>
        <v>22</v>
      </c>
    </row>
    <row r="219" spans="1:9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>
        <f>SUMIFS(Лист2!$C:$C,Лист2!$A:$A,A219,Лист2!$B:$B,B219)</f>
        <v>22</v>
      </c>
      <c r="F219">
        <f>SUMIFS(Лист2!$D:$D,Лист2!$A:$A,A219,Лист2!$B:$B,B219)</f>
        <v>2793</v>
      </c>
      <c r="G219">
        <f>SUMIFS(Лист2!$E:$E,Лист2!$A:$A,A219,Лист2!$B:$B,B219)</f>
        <v>2539</v>
      </c>
      <c r="H219">
        <f>D219/E219</f>
        <v>202565.52272727274</v>
      </c>
      <c r="I219">
        <f>WEEKNUM(A219,2)</f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>
        <f>SUMIFS(Лист2!$C:$C,Лист2!$A:$A,A220,Лист2!$B:$B,B220)</f>
        <v>22</v>
      </c>
      <c r="F220">
        <f>SUMIFS(Лист2!$D:$D,Лист2!$A:$A,A220,Лист2!$B:$B,B220)</f>
        <v>2454</v>
      </c>
      <c r="G220">
        <f>SUMIFS(Лист2!$E:$E,Лист2!$A:$A,A220,Лист2!$B:$B,B220)</f>
        <v>2239</v>
      </c>
      <c r="H220">
        <f>D220/E220</f>
        <v>176985.47727272726</v>
      </c>
      <c r="I220">
        <f>WEEKNUM(A220,2)</f>
        <v>22</v>
      </c>
    </row>
    <row r="221" spans="1:9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>
        <f>SUMIFS(Лист2!$C:$C,Лист2!$A:$A,A221,Лист2!$B:$B,B221)</f>
        <v>15</v>
      </c>
      <c r="F221">
        <f>SUMIFS(Лист2!$D:$D,Лист2!$A:$A,A221,Лист2!$B:$B,B221)</f>
        <v>1111</v>
      </c>
      <c r="G221">
        <f>SUMIFS(Лист2!$E:$E,Лист2!$A:$A,A221,Лист2!$B:$B,B221)</f>
        <v>992</v>
      </c>
      <c r="H221">
        <f>D221/E221</f>
        <v>106761.7</v>
      </c>
      <c r="I221">
        <f>WEEKNUM(A221,2)</f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>
        <f>SUMIFS(Лист2!$C:$C,Лист2!$A:$A,A222,Лист2!$B:$B,B222)</f>
        <v>16</v>
      </c>
      <c r="F222">
        <f>SUMIFS(Лист2!$D:$D,Лист2!$A:$A,A222,Лист2!$B:$B,B222)</f>
        <v>1012</v>
      </c>
      <c r="G222">
        <f>SUMIFS(Лист2!$E:$E,Лист2!$A:$A,A222,Лист2!$B:$B,B222)</f>
        <v>900</v>
      </c>
      <c r="H222">
        <f>D222/E222</f>
        <v>85302.9375</v>
      </c>
      <c r="I222">
        <f>WEEKNUM(A222,2)</f>
        <v>21</v>
      </c>
    </row>
    <row r="223" spans="1:9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>
        <f>SUMIFS(Лист2!$C:$C,Лист2!$A:$A,A223,Лист2!$B:$B,B223)</f>
        <v>15</v>
      </c>
      <c r="F223">
        <f>SUMIFS(Лист2!$D:$D,Лист2!$A:$A,A223,Лист2!$B:$B,B223)</f>
        <v>971</v>
      </c>
      <c r="G223">
        <f>SUMIFS(Лист2!$E:$E,Лист2!$A:$A,A223,Лист2!$B:$B,B223)</f>
        <v>856</v>
      </c>
      <c r="H223">
        <f>D223/E223</f>
        <v>91838.5</v>
      </c>
      <c r="I223">
        <f>WEEKNUM(A223,2)</f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>
        <f>SUMIFS(Лист2!$C:$C,Лист2!$A:$A,A224,Лист2!$B:$B,B224)</f>
        <v>15</v>
      </c>
      <c r="F224">
        <f>SUMIFS(Лист2!$D:$D,Лист2!$A:$A,A224,Лист2!$B:$B,B224)</f>
        <v>849</v>
      </c>
      <c r="G224">
        <f>SUMIFS(Лист2!$E:$E,Лист2!$A:$A,A224,Лист2!$B:$B,B224)</f>
        <v>740</v>
      </c>
      <c r="H224">
        <f>D224/E224</f>
        <v>81528.800000000003</v>
      </c>
      <c r="I224">
        <f>WEEKNUM(A224,2)</f>
        <v>19</v>
      </c>
    </row>
    <row r="225" spans="1:9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>
        <f>SUMIFS(Лист2!$C:$C,Лист2!$A:$A,A225,Лист2!$B:$B,B225)</f>
        <v>15</v>
      </c>
      <c r="F225">
        <f>SUMIFS(Лист2!$D:$D,Лист2!$A:$A,A225,Лист2!$B:$B,B225)</f>
        <v>750</v>
      </c>
      <c r="G225">
        <f>SUMIFS(Лист2!$E:$E,Лист2!$A:$A,A225,Лист2!$B:$B,B225)</f>
        <v>647</v>
      </c>
      <c r="H225">
        <f>D225/E225</f>
        <v>72347.399999999994</v>
      </c>
      <c r="I225">
        <f>WEEKNUM(A225,2)</f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>
        <f>SUMIFS(Лист2!$C:$C,Лист2!$A:$A,A226,Лист2!$B:$B,B226)</f>
        <v>15</v>
      </c>
      <c r="F226">
        <f>SUMIFS(Лист2!$D:$D,Лист2!$A:$A,A226,Лист2!$B:$B,B226)</f>
        <v>786</v>
      </c>
      <c r="G226">
        <f>SUMIFS(Лист2!$E:$E,Лист2!$A:$A,A226,Лист2!$B:$B,B226)</f>
        <v>695</v>
      </c>
      <c r="H226">
        <f>D226/E226</f>
        <v>74399.5</v>
      </c>
      <c r="I226">
        <f>WEEKNUM(A226,2)</f>
        <v>18</v>
      </c>
    </row>
    <row r="227" spans="1:9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>
        <f>SUMIFS(Лист2!$C:$C,Лист2!$A:$A,A227,Лист2!$B:$B,B227)</f>
        <v>15</v>
      </c>
      <c r="F227">
        <f>SUMIFS(Лист2!$D:$D,Лист2!$A:$A,A227,Лист2!$B:$B,B227)</f>
        <v>751</v>
      </c>
      <c r="G227">
        <f>SUMIFS(Лист2!$E:$E,Лист2!$A:$A,A227,Лист2!$B:$B,B227)</f>
        <v>651</v>
      </c>
      <c r="H227">
        <f>D227/E227</f>
        <v>70214.7</v>
      </c>
      <c r="I227">
        <f>WEEKNUM(A227,2)</f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>
        <f>SUMIFS(Лист2!$C:$C,Лист2!$A:$A,A228,Лист2!$B:$B,B228)</f>
        <v>17</v>
      </c>
      <c r="F228">
        <f>SUMIFS(Лист2!$D:$D,Лист2!$A:$A,A228,Лист2!$B:$B,B228)</f>
        <v>1140</v>
      </c>
      <c r="G228">
        <f>SUMIFS(Лист2!$E:$E,Лист2!$A:$A,A228,Лист2!$B:$B,B228)</f>
        <v>1016</v>
      </c>
      <c r="H228">
        <f>D228/E228</f>
        <v>87596.029411764699</v>
      </c>
      <c r="I228">
        <f>WEEKNUM(A228,2)</f>
        <v>22</v>
      </c>
    </row>
    <row r="229" spans="1:9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>
        <f>SUMIFS(Лист2!$C:$C,Лист2!$A:$A,A229,Лист2!$B:$B,B229)</f>
        <v>15</v>
      </c>
      <c r="F229">
        <f>SUMIFS(Лист2!$D:$D,Лист2!$A:$A,A229,Лист2!$B:$B,B229)</f>
        <v>996</v>
      </c>
      <c r="G229">
        <f>SUMIFS(Лист2!$E:$E,Лист2!$A:$A,A229,Лист2!$B:$B,B229)</f>
        <v>888</v>
      </c>
      <c r="H229">
        <f>D229/E229</f>
        <v>97722.8</v>
      </c>
      <c r="I229">
        <f>WEEKNUM(A229,2)</f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>
        <f>SUMIFS(Лист2!$C:$C,Лист2!$A:$A,A230,Лист2!$B:$B,B230)</f>
        <v>15</v>
      </c>
      <c r="F230">
        <f>SUMIFS(Лист2!$D:$D,Лист2!$A:$A,A230,Лист2!$B:$B,B230)</f>
        <v>845</v>
      </c>
      <c r="G230">
        <f>SUMIFS(Лист2!$E:$E,Лист2!$A:$A,A230,Лист2!$B:$B,B230)</f>
        <v>743</v>
      </c>
      <c r="H230">
        <f>D230/E230</f>
        <v>74922</v>
      </c>
      <c r="I230">
        <f>WEEKNUM(A230,2)</f>
        <v>20</v>
      </c>
    </row>
    <row r="231" spans="1:9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>
        <f>SUMIFS(Лист2!$C:$C,Лист2!$A:$A,A231,Лист2!$B:$B,B231)</f>
        <v>17</v>
      </c>
      <c r="F231">
        <f>SUMIFS(Лист2!$D:$D,Лист2!$A:$A,A231,Лист2!$B:$B,B231)</f>
        <v>1045</v>
      </c>
      <c r="G231">
        <f>SUMIFS(Лист2!$E:$E,Лист2!$A:$A,A231,Лист2!$B:$B,B231)</f>
        <v>930</v>
      </c>
      <c r="H231">
        <f>D231/E231</f>
        <v>81220.676470588238</v>
      </c>
      <c r="I231">
        <f>WEEKNUM(A231,2)</f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>
        <f>SUMIFS(Лист2!$C:$C,Лист2!$A:$A,A232,Лист2!$B:$B,B232)</f>
        <v>16</v>
      </c>
      <c r="F232">
        <f>SUMIFS(Лист2!$D:$D,Лист2!$A:$A,A232,Лист2!$B:$B,B232)</f>
        <v>1050</v>
      </c>
      <c r="G232">
        <f>SUMIFS(Лист2!$E:$E,Лист2!$A:$A,A232,Лист2!$B:$B,B232)</f>
        <v>938</v>
      </c>
      <c r="H232">
        <f>D232/E232</f>
        <v>89390.90625</v>
      </c>
      <c r="I232">
        <f>WEEKNUM(A232,2)</f>
        <v>21</v>
      </c>
    </row>
    <row r="233" spans="1:9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>
        <f>SUMIFS(Лист2!$C:$C,Лист2!$A:$A,A233,Лист2!$B:$B,B233)</f>
        <v>15</v>
      </c>
      <c r="F233">
        <f>SUMIFS(Лист2!$D:$D,Лист2!$A:$A,A233,Лист2!$B:$B,B233)</f>
        <v>922</v>
      </c>
      <c r="G233">
        <f>SUMIFS(Лист2!$E:$E,Лист2!$A:$A,A233,Лист2!$B:$B,B233)</f>
        <v>823</v>
      </c>
      <c r="H233">
        <f>D233/E233</f>
        <v>92278.6</v>
      </c>
      <c r="I233">
        <f>WEEKNUM(A233,2)</f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>
        <f>SUMIFS(Лист2!$C:$C,Лист2!$A:$A,A234,Лист2!$B:$B,B234)</f>
        <v>15</v>
      </c>
      <c r="F234">
        <f>SUMIFS(Лист2!$D:$D,Лист2!$A:$A,A234,Лист2!$B:$B,B234)</f>
        <v>780</v>
      </c>
      <c r="G234">
        <f>SUMIFS(Лист2!$E:$E,Лист2!$A:$A,A234,Лист2!$B:$B,B234)</f>
        <v>690</v>
      </c>
      <c r="H234">
        <f>D234/E234</f>
        <v>73525.8</v>
      </c>
      <c r="I234">
        <f>WEEKNUM(A234,2)</f>
        <v>18</v>
      </c>
    </row>
    <row r="235" spans="1:9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>
        <f>SUMIFS(Лист2!$C:$C,Лист2!$A:$A,A235,Лист2!$B:$B,B235)</f>
        <v>15</v>
      </c>
      <c r="F235">
        <f>SUMIFS(Лист2!$D:$D,Лист2!$A:$A,A235,Лист2!$B:$B,B235)</f>
        <v>898</v>
      </c>
      <c r="G235">
        <f>SUMIFS(Лист2!$E:$E,Лист2!$A:$A,A235,Лист2!$B:$B,B235)</f>
        <v>795</v>
      </c>
      <c r="H235">
        <f>D235/E235</f>
        <v>82900.5</v>
      </c>
      <c r="I235">
        <f>WEEKNUM(A235,2)</f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>
        <f>SUMIFS(Лист2!$C:$C,Лист2!$A:$A,A236,Лист2!$B:$B,B236)</f>
        <v>15</v>
      </c>
      <c r="F236">
        <f>SUMIFS(Лист2!$D:$D,Лист2!$A:$A,A236,Лист2!$B:$B,B236)</f>
        <v>784</v>
      </c>
      <c r="G236">
        <f>SUMIFS(Лист2!$E:$E,Лист2!$A:$A,A236,Лист2!$B:$B,B236)</f>
        <v>696</v>
      </c>
      <c r="H236">
        <f>D236/E236</f>
        <v>74667.3</v>
      </c>
      <c r="I236">
        <f>WEEKNUM(A236,2)</f>
        <v>18</v>
      </c>
    </row>
    <row r="237" spans="1:9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>
        <f>SUMIFS(Лист2!$C:$C,Лист2!$A:$A,A237,Лист2!$B:$B,B237)</f>
        <v>15</v>
      </c>
      <c r="F237">
        <f>SUMIFS(Лист2!$D:$D,Лист2!$A:$A,A237,Лист2!$B:$B,B237)</f>
        <v>839</v>
      </c>
      <c r="G237">
        <f>SUMIFS(Лист2!$E:$E,Лист2!$A:$A,A237,Лист2!$B:$B,B237)</f>
        <v>733</v>
      </c>
      <c r="H237">
        <f>D237/E237</f>
        <v>81403.8</v>
      </c>
      <c r="I237">
        <f>WEEKNUM(A237,2)</f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>
        <f>SUMIFS(Лист2!$C:$C,Лист2!$A:$A,A238,Лист2!$B:$B,B238)</f>
        <v>17</v>
      </c>
      <c r="F238">
        <f>SUMIFS(Лист2!$D:$D,Лист2!$A:$A,A238,Лист2!$B:$B,B238)</f>
        <v>1294</v>
      </c>
      <c r="G238">
        <f>SUMIFS(Лист2!$E:$E,Лист2!$A:$A,A238,Лист2!$B:$B,B238)</f>
        <v>1155</v>
      </c>
      <c r="H238">
        <f>D238/E238</f>
        <v>109058.91176470589</v>
      </c>
      <c r="I238">
        <f>WEEKNUM(A238,2)</f>
        <v>21</v>
      </c>
    </row>
    <row r="239" spans="1:9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>
        <f>SUMIFS(Лист2!$C:$C,Лист2!$A:$A,A239,Лист2!$B:$B,B239)</f>
        <v>17</v>
      </c>
      <c r="F239">
        <f>SUMIFS(Лист2!$D:$D,Лист2!$A:$A,A239,Лист2!$B:$B,B239)</f>
        <v>1142</v>
      </c>
      <c r="G239">
        <f>SUMIFS(Лист2!$E:$E,Лист2!$A:$A,A239,Лист2!$B:$B,B239)</f>
        <v>1020</v>
      </c>
      <c r="H239">
        <f>D239/E239</f>
        <v>88698.088235294112</v>
      </c>
      <c r="I239">
        <f>WEEKNUM(A239,2)</f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>
        <f>SUMIFS(Лист2!$C:$C,Лист2!$A:$A,A240,Лист2!$B:$B,B240)</f>
        <v>15</v>
      </c>
      <c r="F240">
        <f>SUMIFS(Лист2!$D:$D,Лист2!$A:$A,A240,Лист2!$B:$B,B240)</f>
        <v>791</v>
      </c>
      <c r="G240">
        <f>SUMIFS(Лист2!$E:$E,Лист2!$A:$A,A240,Лист2!$B:$B,B240)</f>
        <v>691</v>
      </c>
      <c r="H240">
        <f>D240/E240</f>
        <v>73537.899999999994</v>
      </c>
      <c r="I240">
        <f>WEEKNUM(A240,2)</f>
        <v>18</v>
      </c>
    </row>
    <row r="241" spans="1:9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>
        <f>SUMIFS(Лист2!$C:$C,Лист2!$A:$A,A241,Лист2!$B:$B,B241)</f>
        <v>15</v>
      </c>
      <c r="F241">
        <f>SUMIFS(Лист2!$D:$D,Лист2!$A:$A,A241,Лист2!$B:$B,B241)</f>
        <v>950</v>
      </c>
      <c r="G241">
        <f>SUMIFS(Лист2!$E:$E,Лист2!$A:$A,A241,Лист2!$B:$B,B241)</f>
        <v>848</v>
      </c>
      <c r="H241">
        <f>D241/E241</f>
        <v>98102.5</v>
      </c>
      <c r="I241">
        <f>WEEKNUM(A241,2)</f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>
        <f>SUMIFS(Лист2!$C:$C,Лист2!$A:$A,A242,Лист2!$B:$B,B242)</f>
        <v>15</v>
      </c>
      <c r="F242">
        <f>SUMIFS(Лист2!$D:$D,Лист2!$A:$A,A242,Лист2!$B:$B,B242)</f>
        <v>879</v>
      </c>
      <c r="G242">
        <f>SUMIFS(Лист2!$E:$E,Лист2!$A:$A,A242,Лист2!$B:$B,B242)</f>
        <v>768</v>
      </c>
      <c r="H242">
        <f>D242/E242</f>
        <v>84652.4</v>
      </c>
      <c r="I242">
        <f>WEEKNUM(A242,2)</f>
        <v>19</v>
      </c>
    </row>
    <row r="243" spans="1:9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>
        <f>SUMIFS(Лист2!$C:$C,Лист2!$A:$A,A243,Лист2!$B:$B,B243)</f>
        <v>15</v>
      </c>
      <c r="F243">
        <f>SUMIFS(Лист2!$D:$D,Лист2!$A:$A,A243,Лист2!$B:$B,B243)</f>
        <v>805</v>
      </c>
      <c r="G243">
        <f>SUMIFS(Лист2!$E:$E,Лист2!$A:$A,A243,Лист2!$B:$B,B243)</f>
        <v>703</v>
      </c>
      <c r="H243">
        <f>D243/E243</f>
        <v>74926.3</v>
      </c>
      <c r="I243">
        <f>WEEKNUM(A243,2)</f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>
        <f>SUMIFS(Лист2!$C:$C,Лист2!$A:$A,A244,Лист2!$B:$B,B244)</f>
        <v>17</v>
      </c>
      <c r="F244">
        <f>SUMIFS(Лист2!$D:$D,Лист2!$A:$A,A244,Лист2!$B:$B,B244)</f>
        <v>1128</v>
      </c>
      <c r="G244">
        <f>SUMIFS(Лист2!$E:$E,Лист2!$A:$A,A244,Лист2!$B:$B,B244)</f>
        <v>1001</v>
      </c>
      <c r="H244">
        <f>D244/E244</f>
        <v>91064.647058823524</v>
      </c>
      <c r="I244">
        <f>WEEKNUM(A244,2)</f>
        <v>21</v>
      </c>
    </row>
    <row r="245" spans="1:9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>
        <f>SUMIFS(Лист2!$C:$C,Лист2!$A:$A,A245,Лист2!$B:$B,B245)</f>
        <v>15</v>
      </c>
      <c r="F245">
        <f>SUMIFS(Лист2!$D:$D,Лист2!$A:$A,A245,Лист2!$B:$B,B245)</f>
        <v>747</v>
      </c>
      <c r="G245">
        <f>SUMIFS(Лист2!$E:$E,Лист2!$A:$A,A245,Лист2!$B:$B,B245)</f>
        <v>647</v>
      </c>
      <c r="H245">
        <f>D245/E245</f>
        <v>81002.2</v>
      </c>
      <c r="I245">
        <f>WEEKNUM(A245,2)</f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>
        <f>SUMIFS(Лист2!$C:$C,Лист2!$A:$A,A246,Лист2!$B:$B,B246)</f>
        <v>15</v>
      </c>
      <c r="F246">
        <f>SUMIFS(Лист2!$D:$D,Лист2!$A:$A,A246,Лист2!$B:$B,B246)</f>
        <v>930</v>
      </c>
      <c r="G246">
        <f>SUMIFS(Лист2!$E:$E,Лист2!$A:$A,A246,Лист2!$B:$B,B246)</f>
        <v>827</v>
      </c>
      <c r="H246">
        <f>D246/E246</f>
        <v>93536.5</v>
      </c>
      <c r="I246">
        <f>WEEKNUM(A246,2)</f>
        <v>21</v>
      </c>
    </row>
    <row r="247" spans="1:9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>
        <f>SUMIFS(Лист2!$C:$C,Лист2!$A:$A,A247,Лист2!$B:$B,B247)</f>
        <v>15</v>
      </c>
      <c r="F247">
        <f>SUMIFS(Лист2!$D:$D,Лист2!$A:$A,A247,Лист2!$B:$B,B247)</f>
        <v>692</v>
      </c>
      <c r="G247">
        <f>SUMIFS(Лист2!$E:$E,Лист2!$A:$A,A247,Лист2!$B:$B,B247)</f>
        <v>591</v>
      </c>
      <c r="H247">
        <f>D247/E247</f>
        <v>70699.3</v>
      </c>
      <c r="I247">
        <f>WEEKNUM(A247,2)</f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>
        <f>SUMIFS(Лист2!$C:$C,Лист2!$A:$A,A248,Лист2!$B:$B,B248)</f>
        <v>15</v>
      </c>
      <c r="F248">
        <f>SUMIFS(Лист2!$D:$D,Лист2!$A:$A,A248,Лист2!$B:$B,B248)</f>
        <v>623</v>
      </c>
      <c r="G248">
        <f>SUMIFS(Лист2!$E:$E,Лист2!$A:$A,A248,Лист2!$B:$B,B248)</f>
        <v>535</v>
      </c>
      <c r="H248">
        <f>D248/E248</f>
        <v>72081.100000000006</v>
      </c>
      <c r="I248">
        <f>WEEKNUM(A248,2)</f>
        <v>19</v>
      </c>
    </row>
    <row r="249" spans="1:9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>
        <f>SUMIFS(Лист2!$C:$C,Лист2!$A:$A,A249,Лист2!$B:$B,B249)</f>
        <v>15</v>
      </c>
      <c r="F249">
        <f>SUMIFS(Лист2!$D:$D,Лист2!$A:$A,A249,Лист2!$B:$B,B249)</f>
        <v>390</v>
      </c>
      <c r="G249">
        <f>SUMIFS(Лист2!$E:$E,Лист2!$A:$A,A249,Лист2!$B:$B,B249)</f>
        <v>315</v>
      </c>
      <c r="H249">
        <f>D249/E249</f>
        <v>40723.699999999997</v>
      </c>
      <c r="I249">
        <f>WEEKNUM(A249,2)</f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>
        <f>SUMIFS(Лист2!$C:$C,Лист2!$A:$A,A250,Лист2!$B:$B,B250)</f>
        <v>18</v>
      </c>
      <c r="F250">
        <f>SUMIFS(Лист2!$D:$D,Лист2!$A:$A,A250,Лист2!$B:$B,B250)</f>
        <v>1599</v>
      </c>
      <c r="G250">
        <f>SUMIFS(Лист2!$E:$E,Лист2!$A:$A,A250,Лист2!$B:$B,B250)</f>
        <v>1450</v>
      </c>
      <c r="H250">
        <f>D250/E250</f>
        <v>131161.91666666666</v>
      </c>
      <c r="I250">
        <f>WEEKNUM(A250,2)</f>
        <v>18</v>
      </c>
    </row>
    <row r="251" spans="1:9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>
        <f>SUMIFS(Лист2!$C:$C,Лист2!$A:$A,A251,Лист2!$B:$B,B251)</f>
        <v>15</v>
      </c>
      <c r="F251">
        <f>SUMIFS(Лист2!$D:$D,Лист2!$A:$A,A251,Лист2!$B:$B,B251)</f>
        <v>274</v>
      </c>
      <c r="G251">
        <f>SUMIFS(Лист2!$E:$E,Лист2!$A:$A,A251,Лист2!$B:$B,B251)</f>
        <v>203</v>
      </c>
      <c r="H251">
        <f>D251/E251</f>
        <v>28882.9</v>
      </c>
      <c r="I251">
        <f>WEEKNUM(A251,2)</f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>
        <f>SUMIFS(Лист2!$C:$C,Лист2!$A:$A,A252,Лист2!$B:$B,B252)</f>
        <v>15</v>
      </c>
      <c r="F252">
        <f>SUMIFS(Лист2!$D:$D,Лист2!$A:$A,A252,Лист2!$B:$B,B252)</f>
        <v>812</v>
      </c>
      <c r="G252">
        <f>SUMIFS(Лист2!$E:$E,Лист2!$A:$A,A252,Лист2!$B:$B,B252)</f>
        <v>711</v>
      </c>
      <c r="H252">
        <f>D252/E252</f>
        <v>76803.600000000006</v>
      </c>
      <c r="I252">
        <f>WEEKNUM(A252,2)</f>
        <v>22</v>
      </c>
    </row>
    <row r="253" spans="1:9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>
        <f>SUMIFS(Лист2!$C:$C,Лист2!$A:$A,A253,Лист2!$B:$B,B253)</f>
        <v>15</v>
      </c>
      <c r="F253">
        <f>SUMIFS(Лист2!$D:$D,Лист2!$A:$A,A253,Лист2!$B:$B,B253)</f>
        <v>294</v>
      </c>
      <c r="G253">
        <f>SUMIFS(Лист2!$E:$E,Лист2!$A:$A,A253,Лист2!$B:$B,B253)</f>
        <v>225</v>
      </c>
      <c r="H253">
        <f>D253/E253</f>
        <v>33704.800000000003</v>
      </c>
      <c r="I253">
        <f>WEEKNUM(A253,2)</f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>
        <f>SUMIFS(Лист2!$C:$C,Лист2!$A:$A,A254,Лист2!$B:$B,B254)</f>
        <v>15</v>
      </c>
      <c r="F254">
        <f>SUMIFS(Лист2!$D:$D,Лист2!$A:$A,A254,Лист2!$B:$B,B254)</f>
        <v>624</v>
      </c>
      <c r="G254">
        <f>SUMIFS(Лист2!$E:$E,Лист2!$A:$A,A254,Лист2!$B:$B,B254)</f>
        <v>538</v>
      </c>
      <c r="H254">
        <f>D254/E254</f>
        <v>65975.5</v>
      </c>
      <c r="I254">
        <f>WEEKNUM(A254,2)</f>
        <v>20</v>
      </c>
    </row>
    <row r="255" spans="1:9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>
        <f>SUMIFS(Лист2!$C:$C,Лист2!$A:$A,A255,Лист2!$B:$B,B255)</f>
        <v>15</v>
      </c>
      <c r="F255">
        <f>SUMIFS(Лист2!$D:$D,Лист2!$A:$A,A255,Лист2!$B:$B,B255)</f>
        <v>749</v>
      </c>
      <c r="G255">
        <f>SUMIFS(Лист2!$E:$E,Лист2!$A:$A,A255,Лист2!$B:$B,B255)</f>
        <v>652</v>
      </c>
      <c r="H255">
        <f>D255/E255</f>
        <v>73574.899999999994</v>
      </c>
      <c r="I255">
        <f>WEEKNUM(A255,2)</f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>
        <f>SUMIFS(Лист2!$C:$C,Лист2!$A:$A,A256,Лист2!$B:$B,B256)</f>
        <v>15</v>
      </c>
      <c r="F256">
        <f>SUMIFS(Лист2!$D:$D,Лист2!$A:$A,A256,Лист2!$B:$B,B256)</f>
        <v>760</v>
      </c>
      <c r="G256">
        <f>SUMIFS(Лист2!$E:$E,Лист2!$A:$A,A256,Лист2!$B:$B,B256)</f>
        <v>664</v>
      </c>
      <c r="H256">
        <f>D256/E256</f>
        <v>73657.2</v>
      </c>
      <c r="I256">
        <f>WEEKNUM(A256,2)</f>
        <v>21</v>
      </c>
    </row>
    <row r="257" spans="1:9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>
        <f>SUMIFS(Лист2!$C:$C,Лист2!$A:$A,A257,Лист2!$B:$B,B257)</f>
        <v>15</v>
      </c>
      <c r="F257">
        <f>SUMIFS(Лист2!$D:$D,Лист2!$A:$A,A257,Лист2!$B:$B,B257)</f>
        <v>455</v>
      </c>
      <c r="G257">
        <f>SUMIFS(Лист2!$E:$E,Лист2!$A:$A,A257,Лист2!$B:$B,B257)</f>
        <v>381</v>
      </c>
      <c r="H257">
        <f>D257/E257</f>
        <v>46306.2</v>
      </c>
      <c r="I257">
        <f>WEEKNUM(A257,2)</f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>
        <f>SUMIFS(Лист2!$C:$C,Лист2!$A:$A,A258,Лист2!$B:$B,B258)</f>
        <v>18</v>
      </c>
      <c r="F258">
        <f>SUMIFS(Лист2!$D:$D,Лист2!$A:$A,A258,Лист2!$B:$B,B258)</f>
        <v>1505</v>
      </c>
      <c r="G258">
        <f>SUMIFS(Лист2!$E:$E,Лист2!$A:$A,A258,Лист2!$B:$B,B258)</f>
        <v>1368</v>
      </c>
      <c r="H258">
        <f>D258/E258</f>
        <v>126504</v>
      </c>
      <c r="I258">
        <f>WEEKNUM(A258,2)</f>
        <v>18</v>
      </c>
    </row>
    <row r="259" spans="1:9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>
        <f>SUMIFS(Лист2!$C:$C,Лист2!$A:$A,A259,Лист2!$B:$B,B259)</f>
        <v>15</v>
      </c>
      <c r="F259">
        <f>SUMIFS(Лист2!$D:$D,Лист2!$A:$A,A259,Лист2!$B:$B,B259)</f>
        <v>599</v>
      </c>
      <c r="G259">
        <f>SUMIFS(Лист2!$E:$E,Лист2!$A:$A,A259,Лист2!$B:$B,B259)</f>
        <v>515</v>
      </c>
      <c r="H259">
        <f>D259/E259</f>
        <v>63327.5</v>
      </c>
      <c r="I259">
        <f>WEEKNUM(A259,2)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>
        <f>SUMIFS(Лист2!$C:$C,Лист2!$A:$A,A260,Лист2!$B:$B,B260)</f>
        <v>17</v>
      </c>
      <c r="F260">
        <f>SUMIFS(Лист2!$D:$D,Лист2!$A:$A,A260,Лист2!$B:$B,B260)</f>
        <v>1186</v>
      </c>
      <c r="G260">
        <f>SUMIFS(Лист2!$E:$E,Лист2!$A:$A,A260,Лист2!$B:$B,B260)</f>
        <v>1054</v>
      </c>
      <c r="H260">
        <f>D260/E260</f>
        <v>93654.088235294112</v>
      </c>
      <c r="I260">
        <f>WEEKNUM(A260,2)</f>
        <v>22</v>
      </c>
    </row>
    <row r="261" spans="1:9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>
        <f>SUMIFS(Лист2!$C:$C,Лист2!$A:$A,A261,Лист2!$B:$B,B261)</f>
        <v>15</v>
      </c>
      <c r="F261">
        <f>SUMIFS(Лист2!$D:$D,Лист2!$A:$A,A261,Лист2!$B:$B,B261)</f>
        <v>455</v>
      </c>
      <c r="G261">
        <f>SUMIFS(Лист2!$E:$E,Лист2!$A:$A,A261,Лист2!$B:$B,B261)</f>
        <v>384</v>
      </c>
      <c r="H261">
        <f>D261/E261</f>
        <v>44353.5</v>
      </c>
      <c r="I261">
        <f>WEEKNUM(A261,2)</f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>
        <f>SUMIFS(Лист2!$C:$C,Лист2!$A:$A,A262,Лист2!$B:$B,B262)</f>
        <v>17</v>
      </c>
      <c r="F262">
        <f>SUMIFS(Лист2!$D:$D,Лист2!$A:$A,A262,Лист2!$B:$B,B262)</f>
        <v>1697</v>
      </c>
      <c r="G262">
        <f>SUMIFS(Лист2!$E:$E,Лист2!$A:$A,A262,Лист2!$B:$B,B262)</f>
        <v>1499</v>
      </c>
      <c r="H262">
        <f>D262/E262</f>
        <v>144544.23529411765</v>
      </c>
      <c r="I262">
        <f>WEEKNUM(A262,2)</f>
        <v>22</v>
      </c>
    </row>
    <row r="263" spans="1:9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>
        <f>SUMIFS(Лист2!$C:$C,Лист2!$A:$A,A263,Лист2!$B:$B,B263)</f>
        <v>15</v>
      </c>
      <c r="F263">
        <f>SUMIFS(Лист2!$D:$D,Лист2!$A:$A,A263,Лист2!$B:$B,B263)</f>
        <v>467</v>
      </c>
      <c r="G263">
        <f>SUMIFS(Лист2!$E:$E,Лист2!$A:$A,A263,Лист2!$B:$B,B263)</f>
        <v>389</v>
      </c>
      <c r="H263">
        <f>D263/E263</f>
        <v>49286.1</v>
      </c>
      <c r="I263">
        <f>WEEKNUM(A263,2)</f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>
        <f>SUMIFS(Лист2!$C:$C,Лист2!$A:$A,A264,Лист2!$B:$B,B264)</f>
        <v>15</v>
      </c>
      <c r="F264">
        <f>SUMIFS(Лист2!$D:$D,Лист2!$A:$A,A264,Лист2!$B:$B,B264)</f>
        <v>840</v>
      </c>
      <c r="G264">
        <f>SUMIFS(Лист2!$E:$E,Лист2!$A:$A,A264,Лист2!$B:$B,B264)</f>
        <v>725</v>
      </c>
      <c r="H264">
        <f>D264/E264</f>
        <v>87671.7</v>
      </c>
      <c r="I264">
        <f>WEEKNUM(A264,2)</f>
        <v>21</v>
      </c>
    </row>
    <row r="265" spans="1:9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>
        <f>SUMIFS(Лист2!$C:$C,Лист2!$A:$A,A265,Лист2!$B:$B,B265)</f>
        <v>17</v>
      </c>
      <c r="F265">
        <f>SUMIFS(Лист2!$D:$D,Лист2!$A:$A,A265,Лист2!$B:$B,B265)</f>
        <v>1097</v>
      </c>
      <c r="G265">
        <f>SUMIFS(Лист2!$E:$E,Лист2!$A:$A,A265,Лист2!$B:$B,B265)</f>
        <v>968</v>
      </c>
      <c r="H265">
        <f>D265/E265</f>
        <v>87525.176470588238</v>
      </c>
      <c r="I265">
        <f>WEEKNUM(A265,2)</f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>
        <f>SUMIFS(Лист2!$C:$C,Лист2!$A:$A,A266,Лист2!$B:$B,B266)</f>
        <v>15</v>
      </c>
      <c r="F266">
        <f>SUMIFS(Лист2!$D:$D,Лист2!$A:$A,A266,Лист2!$B:$B,B266)</f>
        <v>835</v>
      </c>
      <c r="G266">
        <f>SUMIFS(Лист2!$E:$E,Лист2!$A:$A,A266,Лист2!$B:$B,B266)</f>
        <v>736</v>
      </c>
      <c r="H266">
        <f>D266/E266</f>
        <v>82045.8</v>
      </c>
      <c r="I266">
        <f>WEEKNUM(A266,2)</f>
        <v>22</v>
      </c>
    </row>
    <row r="267" spans="1:9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>
        <f>SUMIFS(Лист2!$C:$C,Лист2!$A:$A,A267,Лист2!$B:$B,B267)</f>
        <v>15</v>
      </c>
      <c r="F267">
        <f>SUMIFS(Лист2!$D:$D,Лист2!$A:$A,A267,Лист2!$B:$B,B267)</f>
        <v>262</v>
      </c>
      <c r="G267">
        <f>SUMIFS(Лист2!$E:$E,Лист2!$A:$A,A267,Лист2!$B:$B,B267)</f>
        <v>195</v>
      </c>
      <c r="H267">
        <f>D267/E267</f>
        <v>26979.4</v>
      </c>
      <c r="I267">
        <f>WEEKNUM(A267,2)</f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>
        <f>SUMIFS(Лист2!$C:$C,Лист2!$A:$A,A268,Лист2!$B:$B,B268)</f>
        <v>15</v>
      </c>
      <c r="F268">
        <f>SUMIFS(Лист2!$D:$D,Лист2!$A:$A,A268,Лист2!$B:$B,B268)</f>
        <v>706</v>
      </c>
      <c r="G268">
        <f>SUMIFS(Лист2!$E:$E,Лист2!$A:$A,A268,Лист2!$B:$B,B268)</f>
        <v>608</v>
      </c>
      <c r="H268">
        <f>D268/E268</f>
        <v>79885.7</v>
      </c>
      <c r="I268">
        <f>WEEKNUM(A268,2)</f>
        <v>19</v>
      </c>
    </row>
    <row r="269" spans="1:9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>
        <f>SUMIFS(Лист2!$C:$C,Лист2!$A:$A,A269,Лист2!$B:$B,B269)</f>
        <v>15</v>
      </c>
      <c r="F269">
        <f>SUMIFS(Лист2!$D:$D,Лист2!$A:$A,A269,Лист2!$B:$B,B269)</f>
        <v>492</v>
      </c>
      <c r="G269">
        <f>SUMIFS(Лист2!$E:$E,Лист2!$A:$A,A269,Лист2!$B:$B,B269)</f>
        <v>412</v>
      </c>
      <c r="H269">
        <f>D269/E269</f>
        <v>53250.6</v>
      </c>
      <c r="I269">
        <f>WEEKNUM(A269,2)</f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>
        <f>SUMIFS(Лист2!$C:$C,Лист2!$A:$A,A270,Лист2!$B:$B,B270)</f>
        <v>15</v>
      </c>
      <c r="F270">
        <f>SUMIFS(Лист2!$D:$D,Лист2!$A:$A,A270,Лист2!$B:$B,B270)</f>
        <v>480</v>
      </c>
      <c r="G270">
        <f>SUMIFS(Лист2!$E:$E,Лист2!$A:$A,A270,Лист2!$B:$B,B270)</f>
        <v>398</v>
      </c>
      <c r="H270">
        <f>D270/E270</f>
        <v>51285.1</v>
      </c>
      <c r="I270">
        <f>WEEKNUM(A270,2)</f>
        <v>19</v>
      </c>
    </row>
    <row r="271" spans="1:9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>
        <f>SUMIFS(Лист2!$C:$C,Лист2!$A:$A,A271,Лист2!$B:$B,B271)</f>
        <v>15</v>
      </c>
      <c r="F271">
        <f>SUMIFS(Лист2!$D:$D,Лист2!$A:$A,A271,Лист2!$B:$B,B271)</f>
        <v>779</v>
      </c>
      <c r="G271">
        <f>SUMIFS(Лист2!$E:$E,Лист2!$A:$A,A271,Лист2!$B:$B,B271)</f>
        <v>673</v>
      </c>
      <c r="H271">
        <f>D271/E271</f>
        <v>78991</v>
      </c>
      <c r="I271">
        <f>WEEKNUM(A271,2)</f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>
        <f>SUMIFS(Лист2!$C:$C,Лист2!$A:$A,A272,Лист2!$B:$B,B272)</f>
        <v>19</v>
      </c>
      <c r="F272">
        <f>SUMIFS(Лист2!$D:$D,Лист2!$A:$A,A272,Лист2!$B:$B,B272)</f>
        <v>2039</v>
      </c>
      <c r="G272">
        <f>SUMIFS(Лист2!$E:$E,Лист2!$A:$A,A272,Лист2!$B:$B,B272)</f>
        <v>1868</v>
      </c>
      <c r="H272">
        <f>D272/E272</f>
        <v>153835.97368421053</v>
      </c>
      <c r="I272">
        <f>WEEKNUM(A272,2)</f>
        <v>20</v>
      </c>
    </row>
    <row r="273" spans="1:9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>
        <f>SUMIFS(Лист2!$C:$C,Лист2!$A:$A,A273,Лист2!$B:$B,B273)</f>
        <v>19</v>
      </c>
      <c r="F273">
        <f>SUMIFS(Лист2!$D:$D,Лист2!$A:$A,A273,Лист2!$B:$B,B273)</f>
        <v>1831</v>
      </c>
      <c r="G273">
        <f>SUMIFS(Лист2!$E:$E,Лист2!$A:$A,A273,Лист2!$B:$B,B273)</f>
        <v>1667</v>
      </c>
      <c r="H273">
        <f>D273/E273</f>
        <v>128764.73684210527</v>
      </c>
      <c r="I273">
        <f>WEEKNUM(A273,2)</f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>
        <f>SUMIFS(Лист2!$C:$C,Лист2!$A:$A,A274,Лист2!$B:$B,B274)</f>
        <v>19</v>
      </c>
      <c r="F274">
        <f>SUMIFS(Лист2!$D:$D,Лист2!$A:$A,A274,Лист2!$B:$B,B274)</f>
        <v>1790</v>
      </c>
      <c r="G274">
        <f>SUMIFS(Лист2!$E:$E,Лист2!$A:$A,A274,Лист2!$B:$B,B274)</f>
        <v>1633</v>
      </c>
      <c r="H274">
        <f>D274/E274</f>
        <v>128191.18421052632</v>
      </c>
      <c r="I274">
        <f>WEEKNUM(A274,2)</f>
        <v>20</v>
      </c>
    </row>
    <row r="275" spans="1:9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>
        <f>SUMIFS(Лист2!$C:$C,Лист2!$A:$A,A275,Лист2!$B:$B,B275)</f>
        <v>19</v>
      </c>
      <c r="F275">
        <f>SUMIFS(Лист2!$D:$D,Лист2!$A:$A,A275,Лист2!$B:$B,B275)</f>
        <v>1542</v>
      </c>
      <c r="G275">
        <f>SUMIFS(Лист2!$E:$E,Лист2!$A:$A,A275,Лист2!$B:$B,B275)</f>
        <v>1412</v>
      </c>
      <c r="H275">
        <f>D275/E275</f>
        <v>125523</v>
      </c>
      <c r="I275">
        <f>WEEKNUM(A275,2)</f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>
        <f>SUMIFS(Лист2!$C:$C,Лист2!$A:$A,A276,Лист2!$B:$B,B276)</f>
        <v>19</v>
      </c>
      <c r="F276">
        <f>SUMIFS(Лист2!$D:$D,Лист2!$A:$A,A276,Лист2!$B:$B,B276)</f>
        <v>1479</v>
      </c>
      <c r="G276">
        <f>SUMIFS(Лист2!$E:$E,Лист2!$A:$A,A276,Лист2!$B:$B,B276)</f>
        <v>1346</v>
      </c>
      <c r="H276">
        <f>D276/E276</f>
        <v>113456.21052631579</v>
      </c>
      <c r="I276">
        <f>WEEKNUM(A276,2)</f>
        <v>19</v>
      </c>
    </row>
    <row r="277" spans="1:9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>
        <f>SUMIFS(Лист2!$C:$C,Лист2!$A:$A,A277,Лист2!$B:$B,B277)</f>
        <v>19</v>
      </c>
      <c r="F277">
        <f>SUMIFS(Лист2!$D:$D,Лист2!$A:$A,A277,Лист2!$B:$B,B277)</f>
        <v>1206</v>
      </c>
      <c r="G277">
        <f>SUMIFS(Лист2!$E:$E,Лист2!$A:$A,A277,Лист2!$B:$B,B277)</f>
        <v>1080</v>
      </c>
      <c r="H277">
        <f>D277/E277</f>
        <v>88571.131578947374</v>
      </c>
      <c r="I277">
        <f>WEEKNUM(A277,2)</f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>
        <f>SUMIFS(Лист2!$C:$C,Лист2!$A:$A,A278,Лист2!$B:$B,B278)</f>
        <v>20</v>
      </c>
      <c r="F278">
        <f>SUMIFS(Лист2!$D:$D,Лист2!$A:$A,A278,Лист2!$B:$B,B278)</f>
        <v>1814</v>
      </c>
      <c r="G278">
        <f>SUMIFS(Лист2!$E:$E,Лист2!$A:$A,A278,Лист2!$B:$B,B278)</f>
        <v>1655</v>
      </c>
      <c r="H278">
        <f>D278/E278</f>
        <v>120540.15</v>
      </c>
      <c r="I278">
        <f>WEEKNUM(A278,2)</f>
        <v>22</v>
      </c>
    </row>
    <row r="279" spans="1:9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>
        <f>SUMIFS(Лист2!$C:$C,Лист2!$A:$A,A279,Лист2!$B:$B,B279)</f>
        <v>19</v>
      </c>
      <c r="F279">
        <f>SUMIFS(Лист2!$D:$D,Лист2!$A:$A,A279,Лист2!$B:$B,B279)</f>
        <v>1987</v>
      </c>
      <c r="G279">
        <f>SUMIFS(Лист2!$E:$E,Лист2!$A:$A,A279,Лист2!$B:$B,B279)</f>
        <v>1791</v>
      </c>
      <c r="H279">
        <f>D279/E279</f>
        <v>166763.68421052632</v>
      </c>
      <c r="I279">
        <f>WEEKNUM(A279,2)</f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>
        <f>SUMIFS(Лист2!$C:$C,Лист2!$A:$A,A280,Лист2!$B:$B,B280)</f>
        <v>19</v>
      </c>
      <c r="F280">
        <f>SUMIFS(Лист2!$D:$D,Лист2!$A:$A,A280,Лист2!$B:$B,B280)</f>
        <v>1598</v>
      </c>
      <c r="G280">
        <f>SUMIFS(Лист2!$E:$E,Лист2!$A:$A,A280,Лист2!$B:$B,B280)</f>
        <v>1454</v>
      </c>
      <c r="H280">
        <f>D280/E280</f>
        <v>118061.05263157895</v>
      </c>
      <c r="I280">
        <f>WEEKNUM(A280,2)</f>
        <v>20</v>
      </c>
    </row>
    <row r="281" spans="1:9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>
        <f>SUMIFS(Лист2!$C:$C,Лист2!$A:$A,A281,Лист2!$B:$B,B281)</f>
        <v>19</v>
      </c>
      <c r="F281">
        <f>SUMIFS(Лист2!$D:$D,Лист2!$A:$A,A281,Лист2!$B:$B,B281)</f>
        <v>1650</v>
      </c>
      <c r="G281">
        <f>SUMIFS(Лист2!$E:$E,Лист2!$A:$A,A281,Лист2!$B:$B,B281)</f>
        <v>1505</v>
      </c>
      <c r="H281">
        <f>D281/E281</f>
        <v>115733.44736842105</v>
      </c>
      <c r="I281">
        <f>WEEKNUM(A281,2)</f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>
        <f>SUMIFS(Лист2!$C:$C,Лист2!$A:$A,A282,Лист2!$B:$B,B282)</f>
        <v>19</v>
      </c>
      <c r="F282">
        <f>SUMIFS(Лист2!$D:$D,Лист2!$A:$A,A282,Лист2!$B:$B,B282)</f>
        <v>1823</v>
      </c>
      <c r="G282">
        <f>SUMIFS(Лист2!$E:$E,Лист2!$A:$A,A282,Лист2!$B:$B,B282)</f>
        <v>1678</v>
      </c>
      <c r="H282">
        <f>D282/E282</f>
        <v>132671.52631578947</v>
      </c>
      <c r="I282">
        <f>WEEKNUM(A282,2)</f>
        <v>21</v>
      </c>
    </row>
    <row r="283" spans="1:9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>
        <f>SUMIFS(Лист2!$C:$C,Лист2!$A:$A,A283,Лист2!$B:$B,B283)</f>
        <v>19</v>
      </c>
      <c r="F283">
        <f>SUMIFS(Лист2!$D:$D,Лист2!$A:$A,A283,Лист2!$B:$B,B283)</f>
        <v>1622</v>
      </c>
      <c r="G283">
        <f>SUMIFS(Лист2!$E:$E,Лист2!$A:$A,A283,Лист2!$B:$B,B283)</f>
        <v>1482</v>
      </c>
      <c r="H283">
        <f>D283/E283</f>
        <v>125280.71052631579</v>
      </c>
      <c r="I283">
        <f>WEEKNUM(A283,2)</f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>
        <f>SUMIFS(Лист2!$C:$C,Лист2!$A:$A,A284,Лист2!$B:$B,B284)</f>
        <v>19</v>
      </c>
      <c r="F284">
        <f>SUMIFS(Лист2!$D:$D,Лист2!$A:$A,A284,Лист2!$B:$B,B284)</f>
        <v>1605</v>
      </c>
      <c r="G284">
        <f>SUMIFS(Лист2!$E:$E,Лист2!$A:$A,A284,Лист2!$B:$B,B284)</f>
        <v>1447</v>
      </c>
      <c r="H284">
        <f>D284/E284</f>
        <v>119139.55263157895</v>
      </c>
      <c r="I284">
        <f>WEEKNUM(A284,2)</f>
        <v>20</v>
      </c>
    </row>
    <row r="285" spans="1:9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>
        <f>SUMIFS(Лист2!$C:$C,Лист2!$A:$A,A285,Лист2!$B:$B,B285)</f>
        <v>16</v>
      </c>
      <c r="F285">
        <f>SUMIFS(Лист2!$D:$D,Лист2!$A:$A,A285,Лист2!$B:$B,B285)</f>
        <v>917</v>
      </c>
      <c r="G285">
        <f>SUMIFS(Лист2!$E:$E,Лист2!$A:$A,A285,Лист2!$B:$B,B285)</f>
        <v>802</v>
      </c>
      <c r="H285">
        <f>D285/E285</f>
        <v>83549.34375</v>
      </c>
      <c r="I285">
        <f>WEEKNUM(A285,2)</f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>
        <f>SUMIFS(Лист2!$C:$C,Лист2!$A:$A,A286,Лист2!$B:$B,B286)</f>
        <v>19</v>
      </c>
      <c r="F286">
        <f>SUMIFS(Лист2!$D:$D,Лист2!$A:$A,A286,Лист2!$B:$B,B286)</f>
        <v>1314</v>
      </c>
      <c r="G286">
        <f>SUMIFS(Лист2!$E:$E,Лист2!$A:$A,A286,Лист2!$B:$B,B286)</f>
        <v>1192</v>
      </c>
      <c r="H286">
        <f>D286/E286</f>
        <v>100345.10526315789</v>
      </c>
      <c r="I286">
        <f>WEEKNUM(A286,2)</f>
        <v>18</v>
      </c>
    </row>
    <row r="287" spans="1:9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>
        <f>SUMIFS(Лист2!$C:$C,Лист2!$A:$A,A287,Лист2!$B:$B,B287)</f>
        <v>16</v>
      </c>
      <c r="F287">
        <f>SUMIFS(Лист2!$D:$D,Лист2!$A:$A,A287,Лист2!$B:$B,B287)</f>
        <v>1048</v>
      </c>
      <c r="G287">
        <f>SUMIFS(Лист2!$E:$E,Лист2!$A:$A,A287,Лист2!$B:$B,B287)</f>
        <v>918</v>
      </c>
      <c r="H287">
        <f>D287/E287</f>
        <v>100568.15625</v>
      </c>
      <c r="I287">
        <f>WEEKNUM(A287,2)</f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>
        <f>SUMIFS(Лист2!$C:$C,Лист2!$A:$A,A288,Лист2!$B:$B,B288)</f>
        <v>19</v>
      </c>
      <c r="F288">
        <f>SUMIFS(Лист2!$D:$D,Лист2!$A:$A,A288,Лист2!$B:$B,B288)</f>
        <v>1509</v>
      </c>
      <c r="G288">
        <f>SUMIFS(Лист2!$E:$E,Лист2!$A:$A,A288,Лист2!$B:$B,B288)</f>
        <v>1374</v>
      </c>
      <c r="H288">
        <f>D288/E288</f>
        <v>113650.02631578948</v>
      </c>
      <c r="I288">
        <f>WEEKNUM(A288,2)</f>
        <v>19</v>
      </c>
    </row>
    <row r="289" spans="1:9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>
        <f>SUMIFS(Лист2!$C:$C,Лист2!$A:$A,A289,Лист2!$B:$B,B289)</f>
        <v>19</v>
      </c>
      <c r="F289">
        <f>SUMIFS(Лист2!$D:$D,Лист2!$A:$A,A289,Лист2!$B:$B,B289)</f>
        <v>2195</v>
      </c>
      <c r="G289">
        <f>SUMIFS(Лист2!$E:$E,Лист2!$A:$A,A289,Лист2!$B:$B,B289)</f>
        <v>1999</v>
      </c>
      <c r="H289">
        <f>D289/E289</f>
        <v>162586.34210526315</v>
      </c>
      <c r="I289">
        <f>WEEKNUM(A289,2)</f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>
        <f>SUMIFS(Лист2!$C:$C,Лист2!$A:$A,A290,Лист2!$B:$B,B290)</f>
        <v>16</v>
      </c>
      <c r="F290">
        <f>SUMIFS(Лист2!$D:$D,Лист2!$A:$A,A290,Лист2!$B:$B,B290)</f>
        <v>876</v>
      </c>
      <c r="G290">
        <f>SUMIFS(Лист2!$E:$E,Лист2!$A:$A,A290,Лист2!$B:$B,B290)</f>
        <v>762</v>
      </c>
      <c r="H290">
        <f>D290/E290</f>
        <v>77484.1875</v>
      </c>
      <c r="I290">
        <f>WEEKNUM(A290,2)</f>
        <v>22</v>
      </c>
    </row>
    <row r="291" spans="1:9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>
        <f>SUMIFS(Лист2!$C:$C,Лист2!$A:$A,A291,Лист2!$B:$B,B291)</f>
        <v>20</v>
      </c>
      <c r="F291">
        <f>SUMIFS(Лист2!$D:$D,Лист2!$A:$A,A291,Лист2!$B:$B,B291)</f>
        <v>1899</v>
      </c>
      <c r="G291">
        <f>SUMIFS(Лист2!$E:$E,Лист2!$A:$A,A291,Лист2!$B:$B,B291)</f>
        <v>1738</v>
      </c>
      <c r="H291">
        <f>D291/E291</f>
        <v>125640.15</v>
      </c>
      <c r="I291">
        <f>WEEKNUM(A291,2)</f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>
        <f>SUMIFS(Лист2!$C:$C,Лист2!$A:$A,A292,Лист2!$B:$B,B292)</f>
        <v>19</v>
      </c>
      <c r="F292">
        <f>SUMIFS(Лист2!$D:$D,Лист2!$A:$A,A292,Лист2!$B:$B,B292)</f>
        <v>1662</v>
      </c>
      <c r="G292">
        <f>SUMIFS(Лист2!$E:$E,Лист2!$A:$A,A292,Лист2!$B:$B,B292)</f>
        <v>1506</v>
      </c>
      <c r="H292">
        <f>D292/E292</f>
        <v>134741.05263157896</v>
      </c>
      <c r="I292">
        <f>WEEKNUM(A292,2)</f>
        <v>18</v>
      </c>
    </row>
    <row r="293" spans="1:9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>
        <f>SUMIFS(Лист2!$C:$C,Лист2!$A:$A,A293,Лист2!$B:$B,B293)</f>
        <v>19</v>
      </c>
      <c r="F293">
        <f>SUMIFS(Лист2!$D:$D,Лист2!$A:$A,A293,Лист2!$B:$B,B293)</f>
        <v>1836</v>
      </c>
      <c r="G293">
        <f>SUMIFS(Лист2!$E:$E,Лист2!$A:$A,A293,Лист2!$B:$B,B293)</f>
        <v>1680</v>
      </c>
      <c r="H293">
        <f>D293/E293</f>
        <v>145645.81578947368</v>
      </c>
      <c r="I293">
        <f>WEEKNUM(A293,2)</f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>
        <f>SUMIFS(Лист2!$C:$C,Лист2!$A:$A,A294,Лист2!$B:$B,B294)</f>
        <v>19</v>
      </c>
      <c r="F294">
        <f>SUMIFS(Лист2!$D:$D,Лист2!$A:$A,A294,Лист2!$B:$B,B294)</f>
        <v>1520</v>
      </c>
      <c r="G294">
        <f>SUMIFS(Лист2!$E:$E,Лист2!$A:$A,A294,Лист2!$B:$B,B294)</f>
        <v>1380</v>
      </c>
      <c r="H294">
        <f>D294/E294</f>
        <v>117682.10526315789</v>
      </c>
      <c r="I294">
        <f>WEEKNUM(A294,2)</f>
        <v>19</v>
      </c>
    </row>
    <row r="295" spans="1:9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>
        <f>SUMIFS(Лист2!$C:$C,Лист2!$A:$A,A295,Лист2!$B:$B,B295)</f>
        <v>19</v>
      </c>
      <c r="F295">
        <f>SUMIFS(Лист2!$D:$D,Лист2!$A:$A,A295,Лист2!$B:$B,B295)</f>
        <v>1580</v>
      </c>
      <c r="G295">
        <f>SUMIFS(Лист2!$E:$E,Лист2!$A:$A,A295,Лист2!$B:$B,B295)</f>
        <v>1435</v>
      </c>
      <c r="H295">
        <f>D295/E295</f>
        <v>121491.39473684211</v>
      </c>
      <c r="I295">
        <f>WEEKNUM(A295,2)</f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>
        <f>SUMIFS(Лист2!$C:$C,Лист2!$A:$A,A296,Лист2!$B:$B,B296)</f>
        <v>19</v>
      </c>
      <c r="F296">
        <f>SUMIFS(Лист2!$D:$D,Лист2!$A:$A,A296,Лист2!$B:$B,B296)</f>
        <v>1868</v>
      </c>
      <c r="G296">
        <f>SUMIFS(Лист2!$E:$E,Лист2!$A:$A,A296,Лист2!$B:$B,B296)</f>
        <v>1706</v>
      </c>
      <c r="H296">
        <f>D296/E296</f>
        <v>132995.21052631579</v>
      </c>
      <c r="I296">
        <f>WEEKNUM(A296,2)</f>
        <v>21</v>
      </c>
    </row>
    <row r="297" spans="1:9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>
        <f>SUMIFS(Лист2!$C:$C,Лист2!$A:$A,A297,Лист2!$B:$B,B297)</f>
        <v>59</v>
      </c>
      <c r="F297">
        <f>SUMIFS(Лист2!$D:$D,Лист2!$A:$A,A297,Лист2!$B:$B,B297)</f>
        <v>13186</v>
      </c>
      <c r="G297">
        <f>SUMIFS(Лист2!$E:$E,Лист2!$A:$A,A297,Лист2!$B:$B,B297)</f>
        <v>12251</v>
      </c>
      <c r="H297">
        <f>D297/E297</f>
        <v>366361.57627118647</v>
      </c>
      <c r="I297">
        <f>WEEKNUM(A297,2)</f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>
        <f>SUMIFS(Лист2!$C:$C,Лист2!$A:$A,A298,Лист2!$B:$B,B298)</f>
        <v>59</v>
      </c>
      <c r="F298">
        <f>SUMIFS(Лист2!$D:$D,Лист2!$A:$A,A298,Лист2!$B:$B,B298)</f>
        <v>12943</v>
      </c>
      <c r="G298">
        <f>SUMIFS(Лист2!$E:$E,Лист2!$A:$A,A298,Лист2!$B:$B,B298)</f>
        <v>12072</v>
      </c>
      <c r="H298">
        <f>D298/E298</f>
        <v>357879.63559322036</v>
      </c>
      <c r="I298">
        <f>WEEKNUM(A298,2)</f>
        <v>18</v>
      </c>
    </row>
    <row r="299" spans="1:9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>
        <f>SUMIFS(Лист2!$C:$C,Лист2!$A:$A,A299,Лист2!$B:$B,B299)</f>
        <v>21</v>
      </c>
      <c r="F299">
        <f>SUMIFS(Лист2!$D:$D,Лист2!$A:$A,A299,Лист2!$B:$B,B299)</f>
        <v>2056</v>
      </c>
      <c r="G299">
        <f>SUMIFS(Лист2!$E:$E,Лист2!$A:$A,A299,Лист2!$B:$B,B299)</f>
        <v>1879</v>
      </c>
      <c r="H299">
        <f>D299/E299</f>
        <v>133063.07142857142</v>
      </c>
      <c r="I299">
        <f>WEEKNUM(A299,2)</f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>
        <f>SUMIFS(Лист2!$C:$C,Лист2!$A:$A,A300,Лист2!$B:$B,B300)</f>
        <v>20</v>
      </c>
      <c r="F300">
        <f>SUMIFS(Лист2!$D:$D,Лист2!$A:$A,A300,Лист2!$B:$B,B300)</f>
        <v>2174</v>
      </c>
      <c r="G300">
        <f>SUMIFS(Лист2!$E:$E,Лист2!$A:$A,A300,Лист2!$B:$B,B300)</f>
        <v>1957</v>
      </c>
      <c r="H300">
        <f>D300/E300</f>
        <v>150266.70000000001</v>
      </c>
      <c r="I300">
        <f>WEEKNUM(A300,2)</f>
        <v>22</v>
      </c>
    </row>
    <row r="301" spans="1:9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>
        <f>SUMIFS(Лист2!$C:$C,Лист2!$A:$A,A301,Лист2!$B:$B,B301)</f>
        <v>20</v>
      </c>
      <c r="F301">
        <f>SUMIFS(Лист2!$D:$D,Лист2!$A:$A,A301,Лист2!$B:$B,B301)</f>
        <v>1875</v>
      </c>
      <c r="G301">
        <f>SUMIFS(Лист2!$E:$E,Лист2!$A:$A,A301,Лист2!$B:$B,B301)</f>
        <v>1701</v>
      </c>
      <c r="H301">
        <f>D301/E301</f>
        <v>127960.575</v>
      </c>
      <c r="I301">
        <f>WEEKNUM(A301,2)</f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>
        <f>SUMIFS(Лист2!$C:$C,Лист2!$A:$A,A302,Лист2!$B:$B,B302)</f>
        <v>60</v>
      </c>
      <c r="F302">
        <f>SUMIFS(Лист2!$D:$D,Лист2!$A:$A,A302,Лист2!$B:$B,B302)</f>
        <v>14049</v>
      </c>
      <c r="G302">
        <f>SUMIFS(Лист2!$E:$E,Лист2!$A:$A,A302,Лист2!$B:$B,B302)</f>
        <v>13118</v>
      </c>
      <c r="H302">
        <f>D302/E302</f>
        <v>394823.05</v>
      </c>
      <c r="I302">
        <f>WEEKNUM(A302,2)</f>
        <v>20</v>
      </c>
    </row>
    <row r="303" spans="1:9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>
        <f>SUMIFS(Лист2!$C:$C,Лист2!$A:$A,A303,Лист2!$B:$B,B303)</f>
        <v>60</v>
      </c>
      <c r="F303">
        <f>SUMIFS(Лист2!$D:$D,Лист2!$A:$A,A303,Лист2!$B:$B,B303)</f>
        <v>13867</v>
      </c>
      <c r="G303">
        <f>SUMIFS(Лист2!$E:$E,Лист2!$A:$A,A303,Лист2!$B:$B,B303)</f>
        <v>12987</v>
      </c>
      <c r="H303">
        <f>D303/E303</f>
        <v>365764.3</v>
      </c>
      <c r="I303">
        <f>WEEKNUM(A303,2)</f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>
        <f>SUMIFS(Лист2!$C:$C,Лист2!$A:$A,A304,Лист2!$B:$B,B304)</f>
        <v>60</v>
      </c>
      <c r="F304">
        <f>SUMIFS(Лист2!$D:$D,Лист2!$A:$A,A304,Лист2!$B:$B,B304)</f>
        <v>11698</v>
      </c>
      <c r="G304">
        <f>SUMIFS(Лист2!$E:$E,Лист2!$A:$A,A304,Лист2!$B:$B,B304)</f>
        <v>10989</v>
      </c>
      <c r="H304">
        <f>D304/E304</f>
        <v>325773.09999999998</v>
      </c>
      <c r="I304">
        <f>WEEKNUM(A304,2)</f>
        <v>20</v>
      </c>
    </row>
    <row r="305" spans="1:9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>
        <f>SUMIFS(Лист2!$C:$C,Лист2!$A:$A,A305,Лист2!$B:$B,B305)</f>
        <v>59</v>
      </c>
      <c r="F305">
        <f>SUMIFS(Лист2!$D:$D,Лист2!$A:$A,A305,Лист2!$B:$B,B305)</f>
        <v>12016</v>
      </c>
      <c r="G305">
        <f>SUMIFS(Лист2!$E:$E,Лист2!$A:$A,A305,Лист2!$B:$B,B305)</f>
        <v>11137</v>
      </c>
      <c r="H305">
        <f>D305/E305</f>
        <v>325739.51694915252</v>
      </c>
      <c r="I305">
        <f>WEEKNUM(A305,2)</f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>
        <f>SUMIFS(Лист2!$C:$C,Лист2!$A:$A,A306,Лист2!$B:$B,B306)</f>
        <v>59</v>
      </c>
      <c r="F306">
        <f>SUMIFS(Лист2!$D:$D,Лист2!$A:$A,A306,Лист2!$B:$B,B306)</f>
        <v>14423</v>
      </c>
      <c r="G306">
        <f>SUMIFS(Лист2!$E:$E,Лист2!$A:$A,A306,Лист2!$B:$B,B306)</f>
        <v>13432</v>
      </c>
      <c r="H306">
        <f>D306/E306</f>
        <v>411732.50847457629</v>
      </c>
      <c r="I306">
        <f>WEEKNUM(A306,2)</f>
        <v>19</v>
      </c>
    </row>
    <row r="307" spans="1:9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>
        <f>SUMIFS(Лист2!$C:$C,Лист2!$A:$A,A307,Лист2!$B:$B,B307)</f>
        <v>54</v>
      </c>
      <c r="F307">
        <f>SUMIFS(Лист2!$D:$D,Лист2!$A:$A,A307,Лист2!$B:$B,B307)</f>
        <v>12747</v>
      </c>
      <c r="G307">
        <f>SUMIFS(Лист2!$E:$E,Лист2!$A:$A,A307,Лист2!$B:$B,B307)</f>
        <v>11884</v>
      </c>
      <c r="H307">
        <f>D307/E307</f>
        <v>386507.25</v>
      </c>
      <c r="I307">
        <f>WEEKNUM(A307,2)</f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>
        <f>SUMIFS(Лист2!$C:$C,Лист2!$A:$A,A308,Лист2!$B:$B,B308)</f>
        <v>59</v>
      </c>
      <c r="F308">
        <f>SUMIFS(Лист2!$D:$D,Лист2!$A:$A,A308,Лист2!$B:$B,B308)</f>
        <v>12429</v>
      </c>
      <c r="G308">
        <f>SUMIFS(Лист2!$E:$E,Лист2!$A:$A,A308,Лист2!$B:$B,B308)</f>
        <v>11477</v>
      </c>
      <c r="H308">
        <f>D308/E308</f>
        <v>332633.28813559323</v>
      </c>
      <c r="I308">
        <f>WEEKNUM(A308,2)</f>
        <v>18</v>
      </c>
    </row>
    <row r="309" spans="1:9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>
        <f>SUMIFS(Лист2!$C:$C,Лист2!$A:$A,A309,Лист2!$B:$B,B309)</f>
        <v>59</v>
      </c>
      <c r="F309">
        <f>SUMIFS(Лист2!$D:$D,Лист2!$A:$A,A309,Лист2!$B:$B,B309)</f>
        <v>15369</v>
      </c>
      <c r="G309">
        <f>SUMIFS(Лист2!$E:$E,Лист2!$A:$A,A309,Лист2!$B:$B,B309)</f>
        <v>14299</v>
      </c>
      <c r="H309">
        <f>D309/E309</f>
        <v>426498.83898305084</v>
      </c>
      <c r="I309">
        <f>WEEKNUM(A309,2)</f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>
        <f>SUMIFS(Лист2!$C:$C,Лист2!$A:$A,A310,Лист2!$B:$B,B310)</f>
        <v>59</v>
      </c>
      <c r="F310">
        <f>SUMIFS(Лист2!$D:$D,Лист2!$A:$A,A310,Лист2!$B:$B,B310)</f>
        <v>15222</v>
      </c>
      <c r="G310">
        <f>SUMIFS(Лист2!$E:$E,Лист2!$A:$A,A310,Лист2!$B:$B,B310)</f>
        <v>13873</v>
      </c>
      <c r="H310">
        <f>D310/E310</f>
        <v>430734.76271186443</v>
      </c>
      <c r="I310">
        <f>WEEKNUM(A310,2)</f>
        <v>18</v>
      </c>
    </row>
    <row r="311" spans="1:9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>
        <f>SUMIFS(Лист2!$C:$C,Лист2!$A:$A,A311,Лист2!$B:$B,B311)</f>
        <v>60</v>
      </c>
      <c r="F311">
        <f>SUMIFS(Лист2!$D:$D,Лист2!$A:$A,A311,Лист2!$B:$B,B311)</f>
        <v>12000</v>
      </c>
      <c r="G311">
        <f>SUMIFS(Лист2!$E:$E,Лист2!$A:$A,A311,Лист2!$B:$B,B311)</f>
        <v>11194</v>
      </c>
      <c r="H311">
        <f>D311/E311</f>
        <v>320086.32500000001</v>
      </c>
      <c r="I311">
        <f>WEEKNUM(A311,2)</f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>
        <f>SUMIFS(Лист2!$C:$C,Лист2!$A:$A,A312,Лист2!$B:$B,B312)</f>
        <v>60</v>
      </c>
      <c r="F312">
        <f>SUMIFS(Лист2!$D:$D,Лист2!$A:$A,A312,Лист2!$B:$B,B312)</f>
        <v>14005</v>
      </c>
      <c r="G312">
        <f>SUMIFS(Лист2!$E:$E,Лист2!$A:$A,A312,Лист2!$B:$B,B312)</f>
        <v>13002</v>
      </c>
      <c r="H312">
        <f>D312/E312</f>
        <v>370888.25</v>
      </c>
      <c r="I312">
        <f>WEEKNUM(A312,2)</f>
        <v>21</v>
      </c>
    </row>
    <row r="313" spans="1:9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>
        <f>SUMIFS(Лист2!$C:$C,Лист2!$A:$A,A313,Лист2!$B:$B,B313)</f>
        <v>60</v>
      </c>
      <c r="F313">
        <f>SUMIFS(Лист2!$D:$D,Лист2!$A:$A,A313,Лист2!$B:$B,B313)</f>
        <v>13792</v>
      </c>
      <c r="G313">
        <f>SUMIFS(Лист2!$E:$E,Лист2!$A:$A,A313,Лист2!$B:$B,B313)</f>
        <v>12834</v>
      </c>
      <c r="H313">
        <f>D313/E313</f>
        <v>365988.1</v>
      </c>
      <c r="I313">
        <f>WEEKNUM(A313,2)</f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>
        <f>SUMIFS(Лист2!$C:$C,Лист2!$A:$A,A314,Лист2!$B:$B,B314)</f>
        <v>59</v>
      </c>
      <c r="F314">
        <f>SUMIFS(Лист2!$D:$D,Лист2!$A:$A,A314,Лист2!$B:$B,B314)</f>
        <v>13469</v>
      </c>
      <c r="G314">
        <f>SUMIFS(Лист2!$E:$E,Лист2!$A:$A,A314,Лист2!$B:$B,B314)</f>
        <v>12486</v>
      </c>
      <c r="H314">
        <f>D314/E314</f>
        <v>371515.85593220341</v>
      </c>
      <c r="I314">
        <f>WEEKNUM(A314,2)</f>
        <v>19</v>
      </c>
    </row>
    <row r="315" spans="1:9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>
        <f>SUMIFS(Лист2!$C:$C,Лист2!$A:$A,A315,Лист2!$B:$B,B315)</f>
        <v>54</v>
      </c>
      <c r="F315">
        <f>SUMIFS(Лист2!$D:$D,Лист2!$A:$A,A315,Лист2!$B:$B,B315)</f>
        <v>12306</v>
      </c>
      <c r="G315">
        <f>SUMIFS(Лист2!$E:$E,Лист2!$A:$A,A315,Лист2!$B:$B,B315)</f>
        <v>11532</v>
      </c>
      <c r="H315">
        <f>D315/E315</f>
        <v>370430.80555555556</v>
      </c>
      <c r="I315">
        <f>WEEKNUM(A315,2)</f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>
        <f>SUMIFS(Лист2!$C:$C,Лист2!$A:$A,A316,Лист2!$B:$B,B316)</f>
        <v>60</v>
      </c>
      <c r="F316">
        <f>SUMIFS(Лист2!$D:$D,Лист2!$A:$A,A316,Лист2!$B:$B,B316)</f>
        <v>12007</v>
      </c>
      <c r="G316">
        <f>SUMIFS(Лист2!$E:$E,Лист2!$A:$A,A316,Лист2!$B:$B,B316)</f>
        <v>11245</v>
      </c>
      <c r="H316">
        <f>D316/E316</f>
        <v>323954.55</v>
      </c>
      <c r="I316">
        <f>WEEKNUM(A316,2)</f>
        <v>20</v>
      </c>
    </row>
    <row r="317" spans="1:9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>
        <f>SUMIFS(Лист2!$C:$C,Лист2!$A:$A,A317,Лист2!$B:$B,B317)</f>
        <v>59</v>
      </c>
      <c r="F317">
        <f>SUMIFS(Лист2!$D:$D,Лист2!$A:$A,A317,Лист2!$B:$B,B317)</f>
        <v>15277</v>
      </c>
      <c r="G317">
        <f>SUMIFS(Лист2!$E:$E,Лист2!$A:$A,A317,Лист2!$B:$B,B317)</f>
        <v>14163</v>
      </c>
      <c r="H317">
        <f>D317/E317</f>
        <v>449021.66949152545</v>
      </c>
      <c r="I317">
        <f>WEEKNUM(A317,2)</f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>
        <f>SUMIFS(Лист2!$C:$C,Лист2!$A:$A,A318,Лист2!$B:$B,B318)</f>
        <v>59</v>
      </c>
      <c r="F318">
        <f>SUMIFS(Лист2!$D:$D,Лист2!$A:$A,A318,Лист2!$B:$B,B318)</f>
        <v>14103</v>
      </c>
      <c r="G318">
        <f>SUMIFS(Лист2!$E:$E,Лист2!$A:$A,A318,Лист2!$B:$B,B318)</f>
        <v>13118</v>
      </c>
      <c r="H318">
        <f>D318/E318</f>
        <v>390389.69491525425</v>
      </c>
      <c r="I318">
        <f>WEEKNUM(A318,2)</f>
        <v>19</v>
      </c>
    </row>
    <row r="319" spans="1:9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>
        <f>SUMIFS(Лист2!$C:$C,Лист2!$A:$A,A319,Лист2!$B:$B,B319)</f>
        <v>60</v>
      </c>
      <c r="F319">
        <f>SUMIFS(Лист2!$D:$D,Лист2!$A:$A,A319,Лист2!$B:$B,B319)</f>
        <v>17295</v>
      </c>
      <c r="G319">
        <f>SUMIFS(Лист2!$E:$E,Лист2!$A:$A,A319,Лист2!$B:$B,B319)</f>
        <v>16010</v>
      </c>
      <c r="H319">
        <f>D319/E319</f>
        <v>476515.17499999999</v>
      </c>
      <c r="I319">
        <f>WEEKNUM(A319,2)</f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>
        <f>SUMIFS(Лист2!$C:$C,Лист2!$A:$A,A320,Лист2!$B:$B,B320)</f>
        <v>59</v>
      </c>
      <c r="F320">
        <f>SUMIFS(Лист2!$D:$D,Лист2!$A:$A,A320,Лист2!$B:$B,B320)</f>
        <v>12983</v>
      </c>
      <c r="G320">
        <f>SUMIFS(Лист2!$E:$E,Лист2!$A:$A,A320,Лист2!$B:$B,B320)</f>
        <v>12056</v>
      </c>
      <c r="H320">
        <f>D320/E320</f>
        <v>348860.05932203389</v>
      </c>
      <c r="I320">
        <f>WEEKNUM(A320,2)</f>
        <v>22</v>
      </c>
    </row>
    <row r="321" spans="1:9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>
        <f>SUMIFS(Лист2!$C:$C,Лист2!$A:$A,A321,Лист2!$B:$B,B321)</f>
        <v>59</v>
      </c>
      <c r="F321">
        <f>SUMIFS(Лист2!$D:$D,Лист2!$A:$A,A321,Лист2!$B:$B,B321)</f>
        <v>13251</v>
      </c>
      <c r="G321">
        <f>SUMIFS(Лист2!$E:$E,Лист2!$A:$A,A321,Лист2!$B:$B,B321)</f>
        <v>12255</v>
      </c>
      <c r="H321">
        <f>D321/E321</f>
        <v>381864.40677966102</v>
      </c>
      <c r="I321">
        <f>WEEKNUM(A321,2)</f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>
        <f>SUMIFS(Лист2!$C:$C,Лист2!$A:$A,A322,Лист2!$B:$B,B322)</f>
        <v>59</v>
      </c>
      <c r="F322">
        <f>SUMIFS(Лист2!$D:$D,Лист2!$A:$A,A322,Лист2!$B:$B,B322)</f>
        <v>14569</v>
      </c>
      <c r="G322">
        <f>SUMIFS(Лист2!$E:$E,Лист2!$A:$A,A322,Лист2!$B:$B,B322)</f>
        <v>13566</v>
      </c>
      <c r="H322">
        <f>D322/E322</f>
        <v>421871.26271186443</v>
      </c>
      <c r="I322">
        <f>WEEKNUM(A322,2)</f>
        <v>19</v>
      </c>
    </row>
    <row r="323" spans="1:9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>
        <f>SUMIFS(Лист2!$C:$C,Лист2!$A:$A,A323,Лист2!$B:$B,B323)</f>
        <v>59</v>
      </c>
      <c r="F323">
        <f>SUMIFS(Лист2!$D:$D,Лист2!$A:$A,A323,Лист2!$B:$B,B323)</f>
        <v>14098</v>
      </c>
      <c r="G323">
        <f>SUMIFS(Лист2!$E:$E,Лист2!$A:$A,A323,Лист2!$B:$B,B323)</f>
        <v>13106</v>
      </c>
      <c r="H323">
        <f>D323/E323</f>
        <v>404778.78813559323</v>
      </c>
      <c r="I323">
        <f>WEEKNUM(A323,2)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>
        <f>SUMIFS(Лист2!$C:$C,Лист2!$A:$A,A324,Лист2!$B:$B,B324)</f>
        <v>59</v>
      </c>
      <c r="F324">
        <f>SUMIFS(Лист2!$D:$D,Лист2!$A:$A,A324,Лист2!$B:$B,B324)</f>
        <v>13495</v>
      </c>
      <c r="G324">
        <f>SUMIFS(Лист2!$E:$E,Лист2!$A:$A,A324,Лист2!$B:$B,B324)</f>
        <v>12517</v>
      </c>
      <c r="H324">
        <f>D324/E324</f>
        <v>380680.16949152545</v>
      </c>
      <c r="I324">
        <f>WEEKNUM(A324,2)</f>
        <v>19</v>
      </c>
    </row>
    <row r="325" spans="1:9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>
        <f>SUMIFS(Лист2!$C:$C,Лист2!$A:$A,A325,Лист2!$B:$B,B325)</f>
        <v>60</v>
      </c>
      <c r="F325">
        <f>SUMIFS(Лист2!$D:$D,Лист2!$A:$A,A325,Лист2!$B:$B,B325)</f>
        <v>12822</v>
      </c>
      <c r="G325">
        <f>SUMIFS(Лист2!$E:$E,Лист2!$A:$A,A325,Лист2!$B:$B,B325)</f>
        <v>11916</v>
      </c>
      <c r="H325">
        <f>D325/E325</f>
        <v>332663.34999999998</v>
      </c>
      <c r="I325">
        <f>WEEKNUM(A325,2)</f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>
        <f>SUMIFS(Лист2!$C:$C,Лист2!$A:$A,A326,Лист2!$B:$B,B326)</f>
        <v>54</v>
      </c>
      <c r="F326">
        <f>SUMIFS(Лист2!$D:$D,Лист2!$A:$A,A326,Лист2!$B:$B,B326)</f>
        <v>13170</v>
      </c>
      <c r="G326">
        <f>SUMIFS(Лист2!$E:$E,Лист2!$A:$A,A326,Лист2!$B:$B,B326)</f>
        <v>12299</v>
      </c>
      <c r="H326">
        <f>D326/E326</f>
        <v>413987.75</v>
      </c>
      <c r="I326">
        <f>WEEKNUM(A326,2)</f>
        <v>20</v>
      </c>
    </row>
    <row r="327" spans="1:9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>
        <f>SUMIFS(Лист2!$C:$C,Лист2!$A:$A,A327,Лист2!$B:$B,B327)</f>
        <v>54</v>
      </c>
      <c r="F327">
        <f>SUMIFS(Лист2!$D:$D,Лист2!$A:$A,A327,Лист2!$B:$B,B327)</f>
        <v>13070</v>
      </c>
      <c r="G327">
        <f>SUMIFS(Лист2!$E:$E,Лист2!$A:$A,A327,Лист2!$B:$B,B327)</f>
        <v>12244</v>
      </c>
      <c r="H327">
        <f>D327/E327</f>
        <v>381297.63888888888</v>
      </c>
      <c r="I327">
        <f>WEEKNUM(A327,2)</f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>
        <f>SUMIFS(Лист2!$C:$C,Лист2!$A:$A,A328,Лист2!$B:$B,B328)</f>
        <v>54</v>
      </c>
      <c r="F328">
        <f>SUMIFS(Лист2!$D:$D,Лист2!$A:$A,A328,Лист2!$B:$B,B328)</f>
        <v>11128</v>
      </c>
      <c r="G328">
        <f>SUMIFS(Лист2!$E:$E,Лист2!$A:$A,A328,Лист2!$B:$B,B328)</f>
        <v>10467</v>
      </c>
      <c r="H328">
        <f>D328/E328</f>
        <v>341649.83333333331</v>
      </c>
      <c r="I328">
        <f>WEEKNUM(A328,2)</f>
        <v>20</v>
      </c>
    </row>
    <row r="329" spans="1:9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>
        <f>SUMIFS(Лист2!$C:$C,Лист2!$A:$A,A329,Лист2!$B:$B,B329)</f>
        <v>54</v>
      </c>
      <c r="F329">
        <f>SUMIFS(Лист2!$D:$D,Лист2!$A:$A,A329,Лист2!$B:$B,B329)</f>
        <v>11288</v>
      </c>
      <c r="G329">
        <f>SUMIFS(Лист2!$E:$E,Лист2!$A:$A,A329,Лист2!$B:$B,B329)</f>
        <v>10492</v>
      </c>
      <c r="H329">
        <f>D329/E329</f>
        <v>334922.19444444444</v>
      </c>
      <c r="I329">
        <f>WEEKNUM(A329,2)</f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>
        <f>SUMIFS(Лист2!$C:$C,Лист2!$A:$A,A330,Лист2!$B:$B,B330)</f>
        <v>54</v>
      </c>
      <c r="F330">
        <f>SUMIFS(Лист2!$D:$D,Лист2!$A:$A,A330,Лист2!$B:$B,B330)</f>
        <v>13606</v>
      </c>
      <c r="G330">
        <f>SUMIFS(Лист2!$E:$E,Лист2!$A:$A,A330,Лист2!$B:$B,B330)</f>
        <v>12697</v>
      </c>
      <c r="H330">
        <f>D330/E330</f>
        <v>422163.47222222225</v>
      </c>
      <c r="I330">
        <f>WEEKNUM(A330,2)</f>
        <v>19</v>
      </c>
    </row>
    <row r="331" spans="1:9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>
        <f>SUMIFS(Лист2!$C:$C,Лист2!$A:$A,A331,Лист2!$B:$B,B331)</f>
        <v>54</v>
      </c>
      <c r="F331">
        <f>SUMIFS(Лист2!$D:$D,Лист2!$A:$A,A331,Лист2!$B:$B,B331)</f>
        <v>11622</v>
      </c>
      <c r="G331">
        <f>SUMIFS(Лист2!$E:$E,Лист2!$A:$A,A331,Лист2!$B:$B,B331)</f>
        <v>10754</v>
      </c>
      <c r="H331">
        <f>D331/E331</f>
        <v>344924.47222222225</v>
      </c>
      <c r="I331">
        <f>WEEKNUM(A331,2)</f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>
        <f>SUMIFS(Лист2!$C:$C,Лист2!$A:$A,A332,Лист2!$B:$B,B332)</f>
        <v>54</v>
      </c>
      <c r="F332">
        <f>SUMIFS(Лист2!$D:$D,Лист2!$A:$A,A332,Лист2!$B:$B,B332)</f>
        <v>14482</v>
      </c>
      <c r="G332">
        <f>SUMIFS(Лист2!$E:$E,Лист2!$A:$A,A332,Лист2!$B:$B,B332)</f>
        <v>13510</v>
      </c>
      <c r="H332">
        <f>D332/E332</f>
        <v>441784.16666666669</v>
      </c>
      <c r="I332">
        <f>WEEKNUM(A332,2)</f>
        <v>22</v>
      </c>
    </row>
    <row r="333" spans="1:9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>
        <f>SUMIFS(Лист2!$C:$C,Лист2!$A:$A,A333,Лист2!$B:$B,B333)</f>
        <v>54</v>
      </c>
      <c r="F333">
        <f>SUMIFS(Лист2!$D:$D,Лист2!$A:$A,A333,Лист2!$B:$B,B333)</f>
        <v>14205</v>
      </c>
      <c r="G333">
        <f>SUMIFS(Лист2!$E:$E,Лист2!$A:$A,A333,Лист2!$B:$B,B333)</f>
        <v>13026</v>
      </c>
      <c r="H333">
        <f>D333/E333</f>
        <v>443584</v>
      </c>
      <c r="I333">
        <f>WEEKNUM(A333,2)</f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>
        <f>SUMIFS(Лист2!$C:$C,Лист2!$A:$A,A334,Лист2!$B:$B,B334)</f>
        <v>54</v>
      </c>
      <c r="F334">
        <f>SUMIFS(Лист2!$D:$D,Лист2!$A:$A,A334,Лист2!$B:$B,B334)</f>
        <v>11614</v>
      </c>
      <c r="G334">
        <f>SUMIFS(Лист2!$E:$E,Лист2!$A:$A,A334,Лист2!$B:$B,B334)</f>
        <v>10862</v>
      </c>
      <c r="H334">
        <f>D334/E334</f>
        <v>346630.30555555556</v>
      </c>
      <c r="I334">
        <f>WEEKNUM(A334,2)</f>
        <v>20</v>
      </c>
    </row>
    <row r="335" spans="1:9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>
        <f>SUMIFS(Лист2!$C:$C,Лист2!$A:$A,A335,Лист2!$B:$B,B335)</f>
        <v>54</v>
      </c>
      <c r="F335">
        <f>SUMIFS(Лист2!$D:$D,Лист2!$A:$A,A335,Лист2!$B:$B,B335)</f>
        <v>13240</v>
      </c>
      <c r="G335">
        <f>SUMIFS(Лист2!$E:$E,Лист2!$A:$A,A335,Лист2!$B:$B,B335)</f>
        <v>12360</v>
      </c>
      <c r="H335">
        <f>D335/E335</f>
        <v>389679.13888888888</v>
      </c>
      <c r="I335">
        <f>WEEKNUM(A335,2)</f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>
        <f>SUMIFS(Лист2!$C:$C,Лист2!$A:$A,A336,Лист2!$B:$B,B336)</f>
        <v>54</v>
      </c>
      <c r="F336">
        <f>SUMIFS(Лист2!$D:$D,Лист2!$A:$A,A336,Лист2!$B:$B,B336)</f>
        <v>13298</v>
      </c>
      <c r="G336">
        <f>SUMIFS(Лист2!$E:$E,Лист2!$A:$A,A336,Лист2!$B:$B,B336)</f>
        <v>12428</v>
      </c>
      <c r="H336">
        <f>D336/E336</f>
        <v>396506.47222222225</v>
      </c>
      <c r="I336">
        <f>WEEKNUM(A336,2)</f>
        <v>21</v>
      </c>
    </row>
    <row r="337" spans="1:9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>
        <f>SUMIFS(Лист2!$C:$C,Лист2!$A:$A,A337,Лист2!$B:$B,B337)</f>
        <v>54</v>
      </c>
      <c r="F337">
        <f>SUMIFS(Лист2!$D:$D,Лист2!$A:$A,A337,Лист2!$B:$B,B337)</f>
        <v>12775</v>
      </c>
      <c r="G337">
        <f>SUMIFS(Лист2!$E:$E,Лист2!$A:$A,A337,Лист2!$B:$B,B337)</f>
        <v>11887</v>
      </c>
      <c r="H337">
        <f>D337/E337</f>
        <v>386669.30555555556</v>
      </c>
      <c r="I337">
        <f>WEEKNUM(A337,2)</f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>
        <f>SUMIFS(Лист2!$C:$C,Лист2!$A:$A,A338,Лист2!$B:$B,B338)</f>
        <v>54</v>
      </c>
      <c r="F338">
        <f>SUMIFS(Лист2!$D:$D,Лист2!$A:$A,A338,Лист2!$B:$B,B338)</f>
        <v>11522</v>
      </c>
      <c r="G338">
        <f>SUMIFS(Лист2!$E:$E,Лист2!$A:$A,A338,Лист2!$B:$B,B338)</f>
        <v>10803</v>
      </c>
      <c r="H338">
        <f>D338/E338</f>
        <v>347851.86111111112</v>
      </c>
      <c r="I338">
        <f>WEEKNUM(A338,2)</f>
        <v>20</v>
      </c>
    </row>
    <row r="339" spans="1:9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>
        <f>SUMIFS(Лист2!$C:$C,Лист2!$A:$A,A339,Лист2!$B:$B,B339)</f>
        <v>59</v>
      </c>
      <c r="F339">
        <f>SUMIFS(Лист2!$D:$D,Лист2!$A:$A,A339,Лист2!$B:$B,B339)</f>
        <v>13684</v>
      </c>
      <c r="G339">
        <f>SUMIFS(Лист2!$E:$E,Лист2!$A:$A,A339,Лист2!$B:$B,B339)</f>
        <v>12690</v>
      </c>
      <c r="H339">
        <f>D339/E339</f>
        <v>365852.82203389832</v>
      </c>
      <c r="I339">
        <f>WEEKNUM(A339,2)</f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>
        <f>SUMIFS(Лист2!$C:$C,Лист2!$A:$A,A340,Лист2!$B:$B,B340)</f>
        <v>54</v>
      </c>
      <c r="F340">
        <f>SUMIFS(Лист2!$D:$D,Лист2!$A:$A,A340,Лист2!$B:$B,B340)</f>
        <v>14823</v>
      </c>
      <c r="G340">
        <f>SUMIFS(Лист2!$E:$E,Лист2!$A:$A,A340,Лист2!$B:$B,B340)</f>
        <v>13751</v>
      </c>
      <c r="H340">
        <f>D340/E340</f>
        <v>472575.41666666669</v>
      </c>
      <c r="I340">
        <f>WEEKNUM(A340,2)</f>
        <v>18</v>
      </c>
    </row>
    <row r="341" spans="1:9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>
        <f>SUMIFS(Лист2!$C:$C,Лист2!$A:$A,A341,Лист2!$B:$B,B341)</f>
        <v>59</v>
      </c>
      <c r="F341">
        <f>SUMIFS(Лист2!$D:$D,Лист2!$A:$A,A341,Лист2!$B:$B,B341)</f>
        <v>15030</v>
      </c>
      <c r="G341">
        <f>SUMIFS(Лист2!$E:$E,Лист2!$A:$A,A341,Лист2!$B:$B,B341)</f>
        <v>13956</v>
      </c>
      <c r="H341">
        <f>D341/E341</f>
        <v>415716.0254237288</v>
      </c>
      <c r="I341">
        <f>WEEKNUM(A341,2)</f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>
        <f>SUMIFS(Лист2!$C:$C,Лист2!$A:$A,A342,Лист2!$B:$B,B342)</f>
        <v>54</v>
      </c>
      <c r="F342">
        <f>SUMIFS(Лист2!$D:$D,Лист2!$A:$A,A342,Лист2!$B:$B,B342)</f>
        <v>13406</v>
      </c>
      <c r="G342">
        <f>SUMIFS(Лист2!$E:$E,Лист2!$A:$A,A342,Лист2!$B:$B,B342)</f>
        <v>12518</v>
      </c>
      <c r="H342">
        <f>D342/E342</f>
        <v>409748.97222222225</v>
      </c>
      <c r="I342">
        <f>WEEKNUM(A342,2)</f>
        <v>19</v>
      </c>
    </row>
    <row r="343" spans="1:9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>
        <f>SUMIFS(Лист2!$C:$C,Лист2!$A:$A,A343,Лист2!$B:$B,B343)</f>
        <v>54</v>
      </c>
      <c r="F343">
        <f>SUMIFS(Лист2!$D:$D,Лист2!$A:$A,A343,Лист2!$B:$B,B343)</f>
        <v>16221</v>
      </c>
      <c r="G343">
        <f>SUMIFS(Лист2!$E:$E,Лист2!$A:$A,A343,Лист2!$B:$B,B343)</f>
        <v>15065</v>
      </c>
      <c r="H343">
        <f>D343/E343</f>
        <v>496419</v>
      </c>
      <c r="I343">
        <f>WEEKNUM(A343,2)</f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>
        <f>SUMIFS(Лист2!$C:$C,Лист2!$A:$A,A344,Лист2!$B:$B,B344)</f>
        <v>60</v>
      </c>
      <c r="F344">
        <f>SUMIFS(Лист2!$D:$D,Лист2!$A:$A,A344,Лист2!$B:$B,B344)</f>
        <v>12854</v>
      </c>
      <c r="G344">
        <f>SUMIFS(Лист2!$E:$E,Лист2!$A:$A,A344,Лист2!$B:$B,B344)</f>
        <v>11954</v>
      </c>
      <c r="H344">
        <f>D344/E344</f>
        <v>342262.22499999998</v>
      </c>
      <c r="I344">
        <f>WEEKNUM(A344,2)</f>
        <v>22</v>
      </c>
    </row>
    <row r="345" spans="1:9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>
        <f>SUMIFS(Лист2!$C:$C,Лист2!$A:$A,A345,Лист2!$B:$B,B345)</f>
        <v>54</v>
      </c>
      <c r="F345">
        <f>SUMIFS(Лист2!$D:$D,Лист2!$A:$A,A345,Лист2!$B:$B,B345)</f>
        <v>12336</v>
      </c>
      <c r="G345">
        <f>SUMIFS(Лист2!$E:$E,Лист2!$A:$A,A345,Лист2!$B:$B,B345)</f>
        <v>11519</v>
      </c>
      <c r="H345">
        <f>D345/E345</f>
        <v>366794.94444444444</v>
      </c>
      <c r="I345">
        <f>WEEKNUM(A345,2)</f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>
        <f>SUMIFS(Лист2!$C:$C,Лист2!$A:$A,A346,Лист2!$B:$B,B346)</f>
        <v>54</v>
      </c>
      <c r="F346">
        <f>SUMIFS(Лист2!$D:$D,Лист2!$A:$A,A346,Лист2!$B:$B,B346)</f>
        <v>12817</v>
      </c>
      <c r="G346">
        <f>SUMIFS(Лист2!$E:$E,Лист2!$A:$A,A346,Лист2!$B:$B,B346)</f>
        <v>11865</v>
      </c>
      <c r="H346">
        <f>D346/E346</f>
        <v>402601.11111111112</v>
      </c>
      <c r="I346">
        <f>WEEKNUM(A346,2)</f>
        <v>18</v>
      </c>
    </row>
    <row r="347" spans="1:9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>
        <f>SUMIFS(Лист2!$C:$C,Лист2!$A:$A,A347,Лист2!$B:$B,B347)</f>
        <v>54</v>
      </c>
      <c r="F347">
        <f>SUMIFS(Лист2!$D:$D,Лист2!$A:$A,A347,Лист2!$B:$B,B347)</f>
        <v>13832</v>
      </c>
      <c r="G347">
        <f>SUMIFS(Лист2!$E:$E,Лист2!$A:$A,A347,Лист2!$B:$B,B347)</f>
        <v>12864</v>
      </c>
      <c r="H347">
        <f>D347/E347</f>
        <v>434143.05555555556</v>
      </c>
      <c r="I347">
        <f>WEEKNUM(A347,2)</f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>
        <f>SUMIFS(Лист2!$C:$C,Лист2!$A:$A,A348,Лист2!$B:$B,B348)</f>
        <v>54</v>
      </c>
      <c r="F348">
        <f>SUMIFS(Лист2!$D:$D,Лист2!$A:$A,A348,Лист2!$B:$B,B348)</f>
        <v>13563</v>
      </c>
      <c r="G348">
        <f>SUMIFS(Лист2!$E:$E,Лист2!$A:$A,A348,Лист2!$B:$B,B348)</f>
        <v>12604</v>
      </c>
      <c r="H348">
        <f>D348/E348</f>
        <v>423075.52777777775</v>
      </c>
      <c r="I348">
        <f>WEEKNUM(A348,2)</f>
        <v>19</v>
      </c>
    </row>
    <row r="349" spans="1:9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>
        <f>SUMIFS(Лист2!$C:$C,Лист2!$A:$A,A349,Лист2!$B:$B,B349)</f>
        <v>54</v>
      </c>
      <c r="F349">
        <f>SUMIFS(Лист2!$D:$D,Лист2!$A:$A,A349,Лист2!$B:$B,B349)</f>
        <v>12743</v>
      </c>
      <c r="G349">
        <f>SUMIFS(Лист2!$E:$E,Лист2!$A:$A,A349,Лист2!$B:$B,B349)</f>
        <v>11858</v>
      </c>
      <c r="H349">
        <f>D349/E349</f>
        <v>397463.38888888888</v>
      </c>
      <c r="I349">
        <f>WEEKNUM(A349,2)</f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>
        <f>SUMIFS(Лист2!$C:$C,Лист2!$A:$A,A350,Лист2!$B:$B,B350)</f>
        <v>54</v>
      </c>
      <c r="F350">
        <f>SUMIFS(Лист2!$D:$D,Лист2!$A:$A,A350,Лист2!$B:$B,B350)</f>
        <v>12211</v>
      </c>
      <c r="G350">
        <f>SUMIFS(Лист2!$E:$E,Лист2!$A:$A,A350,Лист2!$B:$B,B350)</f>
        <v>11427</v>
      </c>
      <c r="H350">
        <f>D350/E350</f>
        <v>353168.83333333331</v>
      </c>
      <c r="I350">
        <f>WEEKNUM(A350,2)</f>
        <v>21</v>
      </c>
    </row>
    <row r="351" spans="1:9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>
        <f>SUMIFS(Лист2!$C:$C,Лист2!$A:$A,A351,Лист2!$B:$B,B351)</f>
        <v>15</v>
      </c>
      <c r="F351">
        <f>SUMIFS(Лист2!$D:$D,Лист2!$A:$A,A351,Лист2!$B:$B,B351)</f>
        <v>659</v>
      </c>
      <c r="G351">
        <f>SUMIFS(Лист2!$E:$E,Лист2!$A:$A,A351,Лист2!$B:$B,B351)</f>
        <v>575</v>
      </c>
      <c r="H351">
        <f>D351/E351</f>
        <v>65434.6</v>
      </c>
      <c r="I351">
        <f>WEEKNUM(A351,2)</f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>
        <f>SUMIFS(Лист2!$C:$C,Лист2!$A:$A,A352,Лист2!$B:$B,B352)</f>
        <v>15</v>
      </c>
      <c r="F352">
        <f>SUMIFS(Лист2!$D:$D,Лист2!$A:$A,A352,Лист2!$B:$B,B352)</f>
        <v>636</v>
      </c>
      <c r="G352">
        <f>SUMIFS(Лист2!$E:$E,Лист2!$A:$A,A352,Лист2!$B:$B,B352)</f>
        <v>547</v>
      </c>
      <c r="H352">
        <f>D352/E352</f>
        <v>66169.399999999994</v>
      </c>
      <c r="I352">
        <f>WEEKNUM(A352,2)</f>
        <v>18</v>
      </c>
    </row>
    <row r="353" spans="1:9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>
        <f>SUMIFS(Лист2!$C:$C,Лист2!$A:$A,A353,Лист2!$B:$B,B353)</f>
        <v>54</v>
      </c>
      <c r="F353">
        <f>SUMIFS(Лист2!$D:$D,Лист2!$A:$A,A353,Лист2!$B:$B,B353)</f>
        <v>13106</v>
      </c>
      <c r="G353">
        <f>SUMIFS(Лист2!$E:$E,Лист2!$A:$A,A353,Лист2!$B:$B,B353)</f>
        <v>12164</v>
      </c>
      <c r="H353">
        <f>D353/E353</f>
        <v>383652.75</v>
      </c>
      <c r="I353">
        <f>WEEKNUM(A353,2)</f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>
        <f>SUMIFS(Лист2!$C:$C,Лист2!$A:$A,A354,Лист2!$B:$B,B354)</f>
        <v>54</v>
      </c>
      <c r="F354">
        <f>SUMIFS(Лист2!$D:$D,Лист2!$A:$A,A354,Лист2!$B:$B,B354)</f>
        <v>14590</v>
      </c>
      <c r="G354">
        <f>SUMIFS(Лист2!$E:$E,Лист2!$A:$A,A354,Лист2!$B:$B,B354)</f>
        <v>13551</v>
      </c>
      <c r="H354">
        <f>D354/E354</f>
        <v>447258.88888888888</v>
      </c>
      <c r="I354">
        <f>WEEKNUM(A354,2)</f>
        <v>22</v>
      </c>
    </row>
    <row r="355" spans="1:9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>
        <f>SUMIFS(Лист2!$C:$C,Лист2!$A:$A,A355,Лист2!$B:$B,B355)</f>
        <v>54</v>
      </c>
      <c r="F355">
        <f>SUMIFS(Лист2!$D:$D,Лист2!$A:$A,A355,Лист2!$B:$B,B355)</f>
        <v>12409</v>
      </c>
      <c r="G355">
        <f>SUMIFS(Лист2!$E:$E,Лист2!$A:$A,A355,Лист2!$B:$B,B355)</f>
        <v>11582</v>
      </c>
      <c r="H355">
        <f>D355/E355</f>
        <v>362019.19444444444</v>
      </c>
      <c r="I355">
        <f>WEEKNUM(A355,2)</f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>
        <f>SUMIFS(Лист2!$C:$C,Лист2!$A:$A,A356,Лист2!$B:$B,B356)</f>
        <v>16</v>
      </c>
      <c r="F356">
        <f>SUMIFS(Лист2!$D:$D,Лист2!$A:$A,A356,Лист2!$B:$B,B356)</f>
        <v>920</v>
      </c>
      <c r="G356">
        <f>SUMIFS(Лист2!$E:$E,Лист2!$A:$A,A356,Лист2!$B:$B,B356)</f>
        <v>818</v>
      </c>
      <c r="H356">
        <f>D356/E356</f>
        <v>82271.90625</v>
      </c>
      <c r="I356">
        <f>WEEKNUM(A356,2)</f>
        <v>20</v>
      </c>
    </row>
    <row r="357" spans="1:9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>
        <f>SUMIFS(Лист2!$C:$C,Лист2!$A:$A,A357,Лист2!$B:$B,B357)</f>
        <v>17</v>
      </c>
      <c r="F357">
        <f>SUMIFS(Лист2!$D:$D,Лист2!$A:$A,A357,Лист2!$B:$B,B357)</f>
        <v>857</v>
      </c>
      <c r="G357">
        <f>SUMIFS(Лист2!$E:$E,Лист2!$A:$A,A357,Лист2!$B:$B,B357)</f>
        <v>757</v>
      </c>
      <c r="H357">
        <f>D357/E357</f>
        <v>66282.970588235301</v>
      </c>
      <c r="I357">
        <f>WEEKNUM(A357,2)</f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>
        <f>SUMIFS(Лист2!$C:$C,Лист2!$A:$A,A358,Лист2!$B:$B,B358)</f>
        <v>16</v>
      </c>
      <c r="F358">
        <f>SUMIFS(Лист2!$D:$D,Лист2!$A:$A,A358,Лист2!$B:$B,B358)</f>
        <v>859</v>
      </c>
      <c r="G358">
        <f>SUMIFS(Лист2!$E:$E,Лист2!$A:$A,A358,Лист2!$B:$B,B358)</f>
        <v>746</v>
      </c>
      <c r="H358">
        <f>D358/E358</f>
        <v>72345.5625</v>
      </c>
      <c r="I358">
        <f>WEEKNUM(A358,2)</f>
        <v>20</v>
      </c>
    </row>
    <row r="359" spans="1:9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>
        <f>SUMIFS(Лист2!$C:$C,Лист2!$A:$A,A359,Лист2!$B:$B,B359)</f>
        <v>15</v>
      </c>
      <c r="F359">
        <f>SUMIFS(Лист2!$D:$D,Лист2!$A:$A,A359,Лист2!$B:$B,B359)</f>
        <v>654</v>
      </c>
      <c r="G359">
        <f>SUMIFS(Лист2!$E:$E,Лист2!$A:$A,A359,Лист2!$B:$B,B359)</f>
        <v>570</v>
      </c>
      <c r="H359">
        <f>D359/E359</f>
        <v>63720.1</v>
      </c>
      <c r="I359">
        <f>WEEKNUM(A359,2)</f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>
        <f>SUMIFS(Лист2!$C:$C,Лист2!$A:$A,A360,Лист2!$B:$B,B360)</f>
        <v>15</v>
      </c>
      <c r="F360">
        <f>SUMIFS(Лист2!$D:$D,Лист2!$A:$A,A360,Лист2!$B:$B,B360)</f>
        <v>622</v>
      </c>
      <c r="G360">
        <f>SUMIFS(Лист2!$E:$E,Лист2!$A:$A,A360,Лист2!$B:$B,B360)</f>
        <v>538</v>
      </c>
      <c r="H360">
        <f>D360/E360</f>
        <v>60422.9</v>
      </c>
      <c r="I360">
        <f>WEEKNUM(A360,2)</f>
        <v>19</v>
      </c>
    </row>
    <row r="361" spans="1:9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>
        <f>SUMIFS(Лист2!$C:$C,Лист2!$A:$A,A361,Лист2!$B:$B,B361)</f>
        <v>15</v>
      </c>
      <c r="F361">
        <f>SUMIFS(Лист2!$D:$D,Лист2!$A:$A,A361,Лист2!$B:$B,B361)</f>
        <v>567</v>
      </c>
      <c r="G361">
        <f>SUMIFS(Лист2!$E:$E,Лист2!$A:$A,A361,Лист2!$B:$B,B361)</f>
        <v>493</v>
      </c>
      <c r="H361">
        <f>D361/E361</f>
        <v>54457.3</v>
      </c>
      <c r="I361">
        <f>WEEKNUM(A361,2)</f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>
        <f>SUMIFS(Лист2!$C:$C,Лист2!$A:$A,A362,Лист2!$B:$B,B362)</f>
        <v>7</v>
      </c>
      <c r="F362">
        <f>SUMIFS(Лист2!$D:$D,Лист2!$A:$A,A362,Лист2!$B:$B,B362)</f>
        <v>577</v>
      </c>
      <c r="G362">
        <f>SUMIFS(Лист2!$E:$E,Лист2!$A:$A,A362,Лист2!$B:$B,B362)</f>
        <v>389</v>
      </c>
      <c r="H362">
        <f>D362/E362</f>
        <v>119116.5</v>
      </c>
      <c r="I362">
        <f>WEEKNUM(A362,2)</f>
        <v>22</v>
      </c>
    </row>
    <row r="363" spans="1:9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>
        <f>SUMIFS(Лист2!$C:$C,Лист2!$A:$A,A363,Лист2!$B:$B,B363)</f>
        <v>15</v>
      </c>
      <c r="F363">
        <f>SUMIFS(Лист2!$D:$D,Лист2!$A:$A,A363,Лист2!$B:$B,B363)</f>
        <v>721</v>
      </c>
      <c r="G363">
        <f>SUMIFS(Лист2!$E:$E,Лист2!$A:$A,A363,Лист2!$B:$B,B363)</f>
        <v>625</v>
      </c>
      <c r="H363">
        <f>D363/E363</f>
        <v>75629.600000000006</v>
      </c>
      <c r="I363">
        <f>WEEKNUM(A363,2)</f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>
        <f>SUMIFS(Лист2!$C:$C,Лист2!$A:$A,A364,Лист2!$B:$B,B364)</f>
        <v>15</v>
      </c>
      <c r="F364">
        <f>SUMIFS(Лист2!$D:$D,Лист2!$A:$A,A364,Лист2!$B:$B,B364)</f>
        <v>750</v>
      </c>
      <c r="G364">
        <f>SUMIFS(Лист2!$E:$E,Лист2!$A:$A,A364,Лист2!$B:$B,B364)</f>
        <v>659</v>
      </c>
      <c r="H364">
        <f>D364/E364</f>
        <v>72818.5</v>
      </c>
      <c r="I364">
        <f>WEEKNUM(A364,2)</f>
        <v>20</v>
      </c>
    </row>
    <row r="365" spans="1:9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>
        <f>SUMIFS(Лист2!$C:$C,Лист2!$A:$A,A365,Лист2!$B:$B,B365)</f>
        <v>18</v>
      </c>
      <c r="F365">
        <f>SUMIFS(Лист2!$D:$D,Лист2!$A:$A,A365,Лист2!$B:$B,B365)</f>
        <v>888</v>
      </c>
      <c r="G365">
        <f>SUMIFS(Лист2!$E:$E,Лист2!$A:$A,A365,Лист2!$B:$B,B365)</f>
        <v>786</v>
      </c>
      <c r="H365">
        <f>D365/E365</f>
        <v>65143</v>
      </c>
      <c r="I365">
        <f>WEEKNUM(A365,2)</f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>
        <f>SUMIFS(Лист2!$C:$C,Лист2!$A:$A,A366,Лист2!$B:$B,B366)</f>
        <v>17</v>
      </c>
      <c r="F366">
        <f>SUMIFS(Лист2!$D:$D,Лист2!$A:$A,A366,Лист2!$B:$B,B366)</f>
        <v>890</v>
      </c>
      <c r="G366">
        <f>SUMIFS(Лист2!$E:$E,Лист2!$A:$A,A366,Лист2!$B:$B,B366)</f>
        <v>794</v>
      </c>
      <c r="H366">
        <f>D366/E366</f>
        <v>71632.323529411762</v>
      </c>
      <c r="I366">
        <f>WEEKNUM(A366,2)</f>
        <v>21</v>
      </c>
    </row>
    <row r="367" spans="1:9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>
        <f>SUMIFS(Лист2!$C:$C,Лист2!$A:$A,A367,Лист2!$B:$B,B367)</f>
        <v>15</v>
      </c>
      <c r="F367">
        <f>SUMIFS(Лист2!$D:$D,Лист2!$A:$A,A367,Лист2!$B:$B,B367)</f>
        <v>750</v>
      </c>
      <c r="G367">
        <f>SUMIFS(Лист2!$E:$E,Лист2!$A:$A,A367,Лист2!$B:$B,B367)</f>
        <v>658</v>
      </c>
      <c r="H367">
        <f>D367/E367</f>
        <v>76371.7</v>
      </c>
      <c r="I367">
        <f>WEEKNUM(A367,2)</f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>
        <f>SUMIFS(Лист2!$C:$C,Лист2!$A:$A,A368,Лист2!$B:$B,B368)</f>
        <v>15</v>
      </c>
      <c r="F368">
        <f>SUMIFS(Лист2!$D:$D,Лист2!$A:$A,A368,Лист2!$B:$B,B368)</f>
        <v>854</v>
      </c>
      <c r="G368">
        <f>SUMIFS(Лист2!$E:$E,Лист2!$A:$A,A368,Лист2!$B:$B,B368)</f>
        <v>756</v>
      </c>
      <c r="H368">
        <f>D368/E368</f>
        <v>78179.399999999994</v>
      </c>
      <c r="I368">
        <f>WEEKNUM(A368,2)</f>
        <v>20</v>
      </c>
    </row>
    <row r="369" spans="1:9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>
        <f>SUMIFS(Лист2!$C:$C,Лист2!$A:$A,A369,Лист2!$B:$B,B369)</f>
        <v>15</v>
      </c>
      <c r="F369">
        <f>SUMIFS(Лист2!$D:$D,Лист2!$A:$A,A369,Лист2!$B:$B,B369)</f>
        <v>585</v>
      </c>
      <c r="G369">
        <f>SUMIFS(Лист2!$E:$E,Лист2!$A:$A,A369,Лист2!$B:$B,B369)</f>
        <v>502</v>
      </c>
      <c r="H369">
        <f>D369/E369</f>
        <v>54410</v>
      </c>
      <c r="I369">
        <f>WEEKNUM(A369,2)</f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>
        <f>SUMIFS(Лист2!$C:$C,Лист2!$A:$A,A370,Лист2!$B:$B,B370)</f>
        <v>15</v>
      </c>
      <c r="F370">
        <f>SUMIFS(Лист2!$D:$D,Лист2!$A:$A,A370,Лист2!$B:$B,B370)</f>
        <v>701</v>
      </c>
      <c r="G370">
        <f>SUMIFS(Лист2!$E:$E,Лист2!$A:$A,A370,Лист2!$B:$B,B370)</f>
        <v>611</v>
      </c>
      <c r="H370">
        <f>D370/E370</f>
        <v>67771.100000000006</v>
      </c>
      <c r="I370">
        <f>WEEKNUM(A370,2)</f>
        <v>19</v>
      </c>
    </row>
    <row r="371" spans="1:9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>
        <f>SUMIFS(Лист2!$C:$C,Лист2!$A:$A,A371,Лист2!$B:$B,B371)</f>
        <v>18</v>
      </c>
      <c r="F371">
        <f>SUMIFS(Лист2!$D:$D,Лист2!$A:$A,A371,Лист2!$B:$B,B371)</f>
        <v>1031</v>
      </c>
      <c r="G371">
        <f>SUMIFS(Лист2!$E:$E,Лист2!$A:$A,A371,Лист2!$B:$B,B371)</f>
        <v>918</v>
      </c>
      <c r="H371">
        <f>D371/E371</f>
        <v>80966.166666666672</v>
      </c>
      <c r="I371">
        <f>WEEKNUM(A371,2)</f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>
        <f>SUMIFS(Лист2!$C:$C,Лист2!$A:$A,A372,Лист2!$B:$B,B372)</f>
        <v>18</v>
      </c>
      <c r="F372">
        <f>SUMIFS(Лист2!$D:$D,Лист2!$A:$A,A372,Лист2!$B:$B,B372)</f>
        <v>989</v>
      </c>
      <c r="G372">
        <f>SUMIFS(Лист2!$E:$E,Лист2!$A:$A,A372,Лист2!$B:$B,B372)</f>
        <v>887</v>
      </c>
      <c r="H372">
        <f>D372/E372</f>
        <v>73705.833333333328</v>
      </c>
      <c r="I372">
        <f>WEEKNUM(A372,2)</f>
        <v>22</v>
      </c>
    </row>
    <row r="373" spans="1:9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>
        <f>SUMIFS(Лист2!$C:$C,Лист2!$A:$A,A373,Лист2!$B:$B,B373)</f>
        <v>15</v>
      </c>
      <c r="F373">
        <f>SUMIFS(Лист2!$D:$D,Лист2!$A:$A,A373,Лист2!$B:$B,B373)</f>
        <v>644</v>
      </c>
      <c r="G373">
        <f>SUMIFS(Лист2!$E:$E,Лист2!$A:$A,A373,Лист2!$B:$B,B373)</f>
        <v>550</v>
      </c>
      <c r="H373">
        <f>D373/E373</f>
        <v>66967.399999999994</v>
      </c>
      <c r="I373">
        <f>WEEKNUM(A373,2)</f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>
        <f>SUMIFS(Лист2!$C:$C,Лист2!$A:$A,A374,Лист2!$B:$B,B374)</f>
        <v>15</v>
      </c>
      <c r="F374">
        <f>SUMIFS(Лист2!$D:$D,Лист2!$A:$A,A374,Лист2!$B:$B,B374)</f>
        <v>792</v>
      </c>
      <c r="G374">
        <f>SUMIFS(Лист2!$E:$E,Лист2!$A:$A,A374,Лист2!$B:$B,B374)</f>
        <v>695</v>
      </c>
      <c r="H374">
        <f>D374/E374</f>
        <v>81103.8</v>
      </c>
      <c r="I374">
        <f>WEEKNUM(A374,2)</f>
        <v>19</v>
      </c>
    </row>
    <row r="375" spans="1:9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>
        <f>SUMIFS(Лист2!$C:$C,Лист2!$A:$A,A375,Лист2!$B:$B,B375)</f>
        <v>15</v>
      </c>
      <c r="F375">
        <f>SUMIFS(Лист2!$D:$D,Лист2!$A:$A,A375,Лист2!$B:$B,B375)</f>
        <v>703</v>
      </c>
      <c r="G375">
        <f>SUMIFS(Лист2!$E:$E,Лист2!$A:$A,A375,Лист2!$B:$B,B375)</f>
        <v>609</v>
      </c>
      <c r="H375">
        <f>D375/E375</f>
        <v>69789.899999999994</v>
      </c>
      <c r="I375">
        <f>WEEKNUM(A375,2)</f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>
        <f>SUMIFS(Лист2!$C:$C,Лист2!$A:$A,A376,Лист2!$B:$B,B376)</f>
        <v>15</v>
      </c>
      <c r="F376">
        <f>SUMIFS(Лист2!$D:$D,Лист2!$A:$A,A376,Лист2!$B:$B,B376)</f>
        <v>676</v>
      </c>
      <c r="G376">
        <f>SUMIFS(Лист2!$E:$E,Лист2!$A:$A,A376,Лист2!$B:$B,B376)</f>
        <v>591</v>
      </c>
      <c r="H376">
        <f>D376/E376</f>
        <v>64392</v>
      </c>
      <c r="I376">
        <f>WEEKNUM(A376,2)</f>
        <v>19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>
        <f>SUMIFS(Лист2!$C:$C,Лист2!$A:$A,A377,Лист2!$B:$B,B377)</f>
        <v>18</v>
      </c>
      <c r="F377">
        <f>SUMIFS(Лист2!$D:$D,Лист2!$A:$A,A377,Лист2!$B:$B,B377)</f>
        <v>1006</v>
      </c>
      <c r="G377">
        <f>SUMIFS(Лист2!$E:$E,Лист2!$A:$A,A377,Лист2!$B:$B,B377)</f>
        <v>904</v>
      </c>
      <c r="H377">
        <f>D377/E377</f>
        <v>77014.583333333328</v>
      </c>
      <c r="I377">
        <f>WEEKNUM(A377,2)</f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>
        <f>SUMIFS(Лист2!$C:$C,Лист2!$A:$A,A378,Лист2!$B:$B,B378)</f>
        <v>18</v>
      </c>
      <c r="F378">
        <f>SUMIFS(Лист2!$D:$D,Лист2!$A:$A,A378,Лист2!$B:$B,B378)</f>
        <v>914</v>
      </c>
      <c r="G378">
        <f>SUMIFS(Лист2!$E:$E,Лист2!$A:$A,A378,Лист2!$B:$B,B378)</f>
        <v>804</v>
      </c>
      <c r="H378">
        <f>D378/E378</f>
        <v>67247.583333333328</v>
      </c>
      <c r="I378">
        <f>WEEKNUM(A378,2)</f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>
        <f>SUMIFS(Лист2!$C:$C,Лист2!$A:$A,A379,Лист2!$B:$B,B379)</f>
        <v>15</v>
      </c>
      <c r="F379">
        <f>SUMIFS(Лист2!$D:$D,Лист2!$A:$A,A379,Лист2!$B:$B,B379)</f>
        <v>453</v>
      </c>
      <c r="G379">
        <f>SUMIFS(Лист2!$E:$E,Лист2!$A:$A,A379,Лист2!$B:$B,B379)</f>
        <v>370</v>
      </c>
      <c r="H379">
        <f>D379/E379</f>
        <v>42423</v>
      </c>
      <c r="I379">
        <f>WEEKNUM(A379,2)</f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>
        <f>SUMIFS(Лист2!$C:$C,Лист2!$A:$A,A380,Лист2!$B:$B,B380)</f>
        <v>9</v>
      </c>
      <c r="F380">
        <f>SUMIFS(Лист2!$D:$D,Лист2!$A:$A,A380,Лист2!$B:$B,B380)</f>
        <v>345</v>
      </c>
      <c r="G380">
        <f>SUMIFS(Лист2!$E:$E,Лист2!$A:$A,A380,Лист2!$B:$B,B380)</f>
        <v>255</v>
      </c>
      <c r="H380">
        <f>D380/E380</f>
        <v>54877</v>
      </c>
      <c r="I380">
        <f>WEEKNUM(A380,2)</f>
        <v>22</v>
      </c>
    </row>
    <row r="381" spans="1:9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>
        <f>SUMIFS(Лист2!$C:$C,Лист2!$A:$A,A381,Лист2!$B:$B,B381)</f>
        <v>7</v>
      </c>
      <c r="F381">
        <f>SUMIFS(Лист2!$D:$D,Лист2!$A:$A,A381,Лист2!$B:$B,B381)</f>
        <v>532</v>
      </c>
      <c r="G381">
        <f>SUMIFS(Лист2!$E:$E,Лист2!$A:$A,A381,Лист2!$B:$B,B381)</f>
        <v>449</v>
      </c>
      <c r="H381">
        <f>D381/E381</f>
        <v>132667.92857142858</v>
      </c>
      <c r="I381">
        <f>WEEKNUM(A381,2)</f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>
        <f>SUMIFS(Лист2!$C:$C,Лист2!$A:$A,A382,Лист2!$B:$B,B382)</f>
        <v>15</v>
      </c>
      <c r="F382">
        <f>SUMIFS(Лист2!$D:$D,Лист2!$A:$A,A382,Лист2!$B:$B,B382)</f>
        <v>400</v>
      </c>
      <c r="G382">
        <f>SUMIFS(Лист2!$E:$E,Лист2!$A:$A,A382,Лист2!$B:$B,B382)</f>
        <v>329</v>
      </c>
      <c r="H382">
        <f>D382/E382</f>
        <v>43415.8</v>
      </c>
      <c r="I382">
        <f>WEEKNUM(A382,2)</f>
        <v>22</v>
      </c>
    </row>
    <row r="383" spans="1:9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>
        <f>SUMIFS(Лист2!$C:$C,Лист2!$A:$A,A383,Лист2!$B:$B,B383)</f>
        <v>7</v>
      </c>
      <c r="F383">
        <f>SUMIFS(Лист2!$D:$D,Лист2!$A:$A,A383,Лист2!$B:$B,B383)</f>
        <v>420</v>
      </c>
      <c r="G383">
        <f>SUMIFS(Лист2!$E:$E,Лист2!$A:$A,A383,Лист2!$B:$B,B383)</f>
        <v>347</v>
      </c>
      <c r="H383">
        <f>D383/E383</f>
        <v>99238.5</v>
      </c>
      <c r="I383">
        <f>WEEKNUM(A383,2)</f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>
        <f>SUMIFS(Лист2!$C:$C,Лист2!$A:$A,A384,Лист2!$B:$B,B384)</f>
        <v>20</v>
      </c>
      <c r="F384">
        <f>SUMIFS(Лист2!$D:$D,Лист2!$A:$A,A384,Лист2!$B:$B,B384)</f>
        <v>2079</v>
      </c>
      <c r="G384">
        <f>SUMIFS(Лист2!$E:$E,Лист2!$A:$A,A384,Лист2!$B:$B,B384)</f>
        <v>1893</v>
      </c>
      <c r="H384">
        <f>D384/E384</f>
        <v>150787.57500000001</v>
      </c>
      <c r="I384">
        <f>WEEKNUM(A384,2)</f>
        <v>22</v>
      </c>
    </row>
    <row r="385" spans="1:9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>
        <f>SUMIFS(Лист2!$C:$C,Лист2!$A:$A,A385,Лист2!$B:$B,B385)</f>
        <v>21</v>
      </c>
      <c r="F385">
        <f>SUMIFS(Лист2!$D:$D,Лист2!$A:$A,A385,Лист2!$B:$B,B385)</f>
        <v>2046</v>
      </c>
      <c r="G385">
        <f>SUMIFS(Лист2!$E:$E,Лист2!$A:$A,A385,Лист2!$B:$B,B385)</f>
        <v>1853</v>
      </c>
      <c r="H385">
        <f>D385/E385</f>
        <v>147193.78571428571</v>
      </c>
      <c r="I385">
        <f>WEEKNUM(A385,2)</f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>
        <f>SUMIFS(Лист2!$C:$C,Лист2!$A:$A,A386,Лист2!$B:$B,B386)</f>
        <v>6</v>
      </c>
      <c r="F386">
        <f>SUMIFS(Лист2!$D:$D,Лист2!$A:$A,A386,Лист2!$B:$B,B386)</f>
        <v>261</v>
      </c>
      <c r="G386">
        <f>SUMIFS(Лист2!$E:$E,Лист2!$A:$A,A386,Лист2!$B:$B,B386)</f>
        <v>188</v>
      </c>
      <c r="H386">
        <f>D386/E386</f>
        <v>78139.25</v>
      </c>
      <c r="I386">
        <f>WEEKNUM(A386,2)</f>
        <v>22</v>
      </c>
    </row>
    <row r="387" spans="1:9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>
        <f>SUMIFS(Лист2!$C:$C,Лист2!$A:$A,A387,Лист2!$B:$B,B387)</f>
        <v>21</v>
      </c>
      <c r="F387">
        <f>SUMIFS(Лист2!$D:$D,Лист2!$A:$A,A387,Лист2!$B:$B,B387)</f>
        <v>1597</v>
      </c>
      <c r="G387">
        <f>SUMIFS(Лист2!$E:$E,Лист2!$A:$A,A387,Лист2!$B:$B,B387)</f>
        <v>1457</v>
      </c>
      <c r="H387">
        <f>D387/E387</f>
        <v>118066.5</v>
      </c>
      <c r="I387">
        <f>WEEKNUM(A387,2)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>
        <f>SUMIFS(Лист2!$C:$C,Лист2!$A:$A,A388,Лист2!$B:$B,B388)</f>
        <v>18</v>
      </c>
      <c r="F388">
        <f>SUMIFS(Лист2!$D:$D,Лист2!$A:$A,A388,Лист2!$B:$B,B388)</f>
        <v>1216</v>
      </c>
      <c r="G388">
        <f>SUMIFS(Лист2!$E:$E,Лист2!$A:$A,A388,Лист2!$B:$B,B388)</f>
        <v>1101</v>
      </c>
      <c r="H388">
        <f>D388/E388</f>
        <v>98508.583333333328</v>
      </c>
      <c r="I388">
        <f>WEEKNUM(A388,2)</f>
        <v>22</v>
      </c>
    </row>
    <row r="389" spans="1:9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>
        <f>SUMIFS(Лист2!$C:$C,Лист2!$A:$A,A389,Лист2!$B:$B,B389)</f>
        <v>18</v>
      </c>
      <c r="F389">
        <f>SUMIFS(Лист2!$D:$D,Лист2!$A:$A,A389,Лист2!$B:$B,B389)</f>
        <v>1020</v>
      </c>
      <c r="G389">
        <f>SUMIFS(Лист2!$E:$E,Лист2!$A:$A,A389,Лист2!$B:$B,B389)</f>
        <v>911</v>
      </c>
      <c r="H389">
        <f>D389/E389</f>
        <v>77080.166666666672</v>
      </c>
      <c r="I389">
        <f>WEEKNUM(A389,2)</f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>
        <f>SUMIFS(Лист2!$C:$C,Лист2!$A:$A,A390,Лист2!$B:$B,B390)</f>
        <v>21</v>
      </c>
      <c r="F390">
        <f>SUMIFS(Лист2!$D:$D,Лист2!$A:$A,A390,Лист2!$B:$B,B390)</f>
        <v>1834</v>
      </c>
      <c r="G390">
        <f>SUMIFS(Лист2!$E:$E,Лист2!$A:$A,A390,Лист2!$B:$B,B390)</f>
        <v>1660</v>
      </c>
      <c r="H390">
        <f>D390/E390</f>
        <v>134589.5</v>
      </c>
      <c r="I390">
        <f>WEEKNUM(A390,2)</f>
        <v>21</v>
      </c>
    </row>
    <row r="391" spans="1:9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>
        <f>SUMIFS(Лист2!$C:$C,Лист2!$A:$A,A391,Лист2!$B:$B,B391)</f>
        <v>21</v>
      </c>
      <c r="F391">
        <f>SUMIFS(Лист2!$D:$D,Лист2!$A:$A,A391,Лист2!$B:$B,B391)</f>
        <v>1706</v>
      </c>
      <c r="G391">
        <f>SUMIFS(Лист2!$E:$E,Лист2!$A:$A,A391,Лист2!$B:$B,B391)</f>
        <v>1548</v>
      </c>
      <c r="H391">
        <f>D391/E391</f>
        <v>128720.57142857143</v>
      </c>
      <c r="I391">
        <f>WEEKNUM(A391,2)</f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>
        <f>SUMIFS(Лист2!$C:$C,Лист2!$A:$A,A392,Лист2!$B:$B,B392)</f>
        <v>21</v>
      </c>
      <c r="F392">
        <f>SUMIFS(Лист2!$D:$D,Лист2!$A:$A,A392,Лист2!$B:$B,B392)</f>
        <v>1926</v>
      </c>
      <c r="G392">
        <f>SUMIFS(Лист2!$E:$E,Лист2!$A:$A,A392,Лист2!$B:$B,B392)</f>
        <v>1742</v>
      </c>
      <c r="H392">
        <f>D392/E392</f>
        <v>144680.64285714287</v>
      </c>
      <c r="I392">
        <f>WEEKNUM(A392,2)</f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>
        <f>SUMIFS(Лист2!$C:$C,Лист2!$A:$A,A393,Лист2!$B:$B,B393)</f>
        <v>21</v>
      </c>
      <c r="F393">
        <f>SUMIFS(Лист2!$D:$D,Лист2!$A:$A,A393,Лист2!$B:$B,B393)</f>
        <v>2025</v>
      </c>
      <c r="G393">
        <f>SUMIFS(Лист2!$E:$E,Лист2!$A:$A,A393,Лист2!$B:$B,B393)</f>
        <v>1849</v>
      </c>
      <c r="H393">
        <f>D393/E393</f>
        <v>140239.78571428571</v>
      </c>
      <c r="I393">
        <f>WEEKNUM(A393,2)</f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>
        <f>SUMIFS(Лист2!$C:$C,Лист2!$A:$A,A394,Лист2!$B:$B,B394)</f>
        <v>7</v>
      </c>
      <c r="F394">
        <f>SUMIFS(Лист2!$D:$D,Лист2!$A:$A,A394,Лист2!$B:$B,B394)</f>
        <v>530</v>
      </c>
      <c r="G394">
        <f>SUMIFS(Лист2!$E:$E,Лист2!$A:$A,A394,Лист2!$B:$B,B394)</f>
        <v>447</v>
      </c>
      <c r="H394">
        <f>D394/E394</f>
        <v>123717.64285714286</v>
      </c>
      <c r="I394">
        <f>WEEKNUM(A394,2)</f>
        <v>22</v>
      </c>
    </row>
    <row r="395" spans="1:9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>
        <f>SUMIFS(Лист2!$C:$C,Лист2!$A:$A,A395,Лист2!$B:$B,B395)</f>
        <v>20</v>
      </c>
      <c r="F395">
        <f>SUMIFS(Лист2!$D:$D,Лист2!$A:$A,A395,Лист2!$B:$B,B395)</f>
        <v>2111</v>
      </c>
      <c r="G395">
        <f>SUMIFS(Лист2!$E:$E,Лист2!$A:$A,A395,Лист2!$B:$B,B395)</f>
        <v>1917</v>
      </c>
      <c r="H395">
        <f>D395/E395</f>
        <v>159658.35</v>
      </c>
      <c r="I395">
        <f>WEEKNUM(A395,2)</f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>
        <f>SUMIFS(Лист2!$C:$C,Лист2!$A:$A,A396,Лист2!$B:$B,B396)</f>
        <v>31</v>
      </c>
      <c r="F396">
        <f>SUMIFS(Лист2!$D:$D,Лист2!$A:$A,A396,Лист2!$B:$B,B396)</f>
        <v>5330</v>
      </c>
      <c r="G396">
        <f>SUMIFS(Лист2!$E:$E,Лист2!$A:$A,A396,Лист2!$B:$B,B396)</f>
        <v>4977</v>
      </c>
      <c r="H396">
        <f>D396/E396</f>
        <v>216163.98387096773</v>
      </c>
      <c r="I396">
        <f>WEEKNUM(A396,2)</f>
        <v>22</v>
      </c>
    </row>
    <row r="397" spans="1:9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>
        <f>SUMIFS(Лист2!$C:$C,Лист2!$A:$A,A397,Лист2!$B:$B,B397)</f>
        <v>31</v>
      </c>
      <c r="F397">
        <f>SUMIFS(Лист2!$D:$D,Лист2!$A:$A,A397,Лист2!$B:$B,B397)</f>
        <v>5965</v>
      </c>
      <c r="G397">
        <f>SUMIFS(Лист2!$E:$E,Лист2!$A:$A,A397,Лист2!$B:$B,B397)</f>
        <v>5533</v>
      </c>
      <c r="H397">
        <f>D397/E397</f>
        <v>249305.32258064515</v>
      </c>
      <c r="I397">
        <f>WEEKNUM(A397,2)</f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>
        <f>SUMIFS(Лист2!$C:$C,Лист2!$A:$A,A398,Лист2!$B:$B,B398)</f>
        <v>31</v>
      </c>
      <c r="F398">
        <f>SUMIFS(Лист2!$D:$D,Лист2!$A:$A,A398,Лист2!$B:$B,B398)</f>
        <v>5468</v>
      </c>
      <c r="G398">
        <f>SUMIFS(Лист2!$E:$E,Лист2!$A:$A,A398,Лист2!$B:$B,B398)</f>
        <v>5081</v>
      </c>
      <c r="H398">
        <f>D398/E398</f>
        <v>220320.04838709679</v>
      </c>
      <c r="I398">
        <f>WEEKNUM(A398,2)</f>
        <v>23</v>
      </c>
    </row>
    <row r="399" spans="1:9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>
        <f>SUMIFS(Лист2!$C:$C,Лист2!$A:$A,A399,Лист2!$B:$B,B399)</f>
        <v>18</v>
      </c>
      <c r="F399">
        <f>SUMIFS(Лист2!$D:$D,Лист2!$A:$A,A399,Лист2!$B:$B,B399)</f>
        <v>1029</v>
      </c>
      <c r="G399">
        <f>SUMIFS(Лист2!$E:$E,Лист2!$A:$A,A399,Лист2!$B:$B,B399)</f>
        <v>925</v>
      </c>
      <c r="H399">
        <f>D399/E399</f>
        <v>79078.333333333328</v>
      </c>
      <c r="I399">
        <f>WEEKNUM(A399,2)</f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>
        <f>SUMIFS(Лист2!$C:$C,Лист2!$A:$A,A400,Лист2!$B:$B,B400)</f>
        <v>31</v>
      </c>
      <c r="F400">
        <f>SUMIFS(Лист2!$D:$D,Лист2!$A:$A,A400,Лист2!$B:$B,B400)</f>
        <v>4826</v>
      </c>
      <c r="G400">
        <f>SUMIFS(Лист2!$E:$E,Лист2!$A:$A,A400,Лист2!$B:$B,B400)</f>
        <v>4483</v>
      </c>
      <c r="H400">
        <f>D400/E400</f>
        <v>206410.30645161291</v>
      </c>
      <c r="I400">
        <f>WEEKNUM(A400,2)</f>
        <v>20</v>
      </c>
    </row>
    <row r="401" spans="1:9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>
        <f>SUMIFS(Лист2!$C:$C,Лист2!$A:$A,A401,Лист2!$B:$B,B401)</f>
        <v>31</v>
      </c>
      <c r="F401">
        <f>SUMIFS(Лист2!$D:$D,Лист2!$A:$A,A401,Лист2!$B:$B,B401)</f>
        <v>5165</v>
      </c>
      <c r="G401">
        <f>SUMIFS(Лист2!$E:$E,Лист2!$A:$A,A401,Лист2!$B:$B,B401)</f>
        <v>4813</v>
      </c>
      <c r="H401">
        <f>D401/E401</f>
        <v>213216.5806451613</v>
      </c>
      <c r="I401">
        <f>WEEKNUM(A401,2)</f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>
        <f>SUMIFS(Лист2!$C:$C,Лист2!$A:$A,A402,Лист2!$B:$B,B402)</f>
        <v>31</v>
      </c>
      <c r="F402">
        <f>SUMIFS(Лист2!$D:$D,Лист2!$A:$A,A402,Лист2!$B:$B,B402)</f>
        <v>4695</v>
      </c>
      <c r="G402">
        <f>SUMIFS(Лист2!$E:$E,Лист2!$A:$A,A402,Лист2!$B:$B,B402)</f>
        <v>4372</v>
      </c>
      <c r="H402">
        <f>D402/E402</f>
        <v>195279</v>
      </c>
      <c r="I402">
        <f>WEEKNUM(A402,2)</f>
        <v>20</v>
      </c>
    </row>
    <row r="403" spans="1:9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>
        <f>SUMIFS(Лист2!$C:$C,Лист2!$A:$A,A403,Лист2!$B:$B,B403)</f>
        <v>31</v>
      </c>
      <c r="F403">
        <f>SUMIFS(Лист2!$D:$D,Лист2!$A:$A,A403,Лист2!$B:$B,B403)</f>
        <v>5184</v>
      </c>
      <c r="G403">
        <f>SUMIFS(Лист2!$E:$E,Лист2!$A:$A,A403,Лист2!$B:$B,B403)</f>
        <v>4778</v>
      </c>
      <c r="H403">
        <f>D403/E403</f>
        <v>221821.11290322582</v>
      </c>
      <c r="I403">
        <f>WEEKNUM(A403,2)</f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>
        <f>SUMIFS(Лист2!$C:$C,Лист2!$A:$A,A404,Лист2!$B:$B,B404)</f>
        <v>10</v>
      </c>
      <c r="F404">
        <f>SUMIFS(Лист2!$D:$D,Лист2!$A:$A,A404,Лист2!$B:$B,B404)</f>
        <v>757</v>
      </c>
      <c r="G404">
        <f>SUMIFS(Лист2!$E:$E,Лист2!$A:$A,A404,Лист2!$B:$B,B404)</f>
        <v>660</v>
      </c>
      <c r="H404">
        <f>D404/E404</f>
        <v>105479.85</v>
      </c>
      <c r="I404">
        <f>WEEKNUM(A404,2)</f>
        <v>22</v>
      </c>
    </row>
    <row r="405" spans="1:9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>
        <f>SUMIFS(Лист2!$C:$C,Лист2!$A:$A,A405,Лист2!$B:$B,B405)</f>
        <v>10</v>
      </c>
      <c r="F405">
        <f>SUMIFS(Лист2!$D:$D,Лист2!$A:$A,A405,Лист2!$B:$B,B405)</f>
        <v>965</v>
      </c>
      <c r="G405">
        <f>SUMIFS(Лист2!$E:$E,Лист2!$A:$A,A405,Лист2!$B:$B,B405)</f>
        <v>861</v>
      </c>
      <c r="H405">
        <f>D405/E405</f>
        <v>145504.95000000001</v>
      </c>
      <c r="I405">
        <f>WEEKNUM(A405,2)</f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>
        <f>SUMIFS(Лист2!$C:$C,Лист2!$A:$A,A406,Лист2!$B:$B,B406)</f>
        <v>10</v>
      </c>
      <c r="F406">
        <f>SUMIFS(Лист2!$D:$D,Лист2!$A:$A,A406,Лист2!$B:$B,B406)</f>
        <v>719</v>
      </c>
      <c r="G406">
        <f>SUMIFS(Лист2!$E:$E,Лист2!$A:$A,A406,Лист2!$B:$B,B406)</f>
        <v>627</v>
      </c>
      <c r="H406">
        <f>D406/E406</f>
        <v>100774.2</v>
      </c>
      <c r="I406">
        <f>WEEKNUM(A406,2)</f>
        <v>23</v>
      </c>
    </row>
    <row r="407" spans="1:9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>
        <f>SUMIFS(Лист2!$C:$C,Лист2!$A:$A,A407,Лист2!$B:$B,B407)</f>
        <v>10</v>
      </c>
      <c r="F407">
        <f>SUMIFS(Лист2!$D:$D,Лист2!$A:$A,A407,Лист2!$B:$B,B407)</f>
        <v>494</v>
      </c>
      <c r="G407">
        <f>SUMIFS(Лист2!$E:$E,Лист2!$A:$A,A407,Лист2!$B:$B,B407)</f>
        <v>421</v>
      </c>
      <c r="H407">
        <f>D407/E407</f>
        <v>73433.55</v>
      </c>
      <c r="I407">
        <f>WEEKNUM(A407,2)</f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>
        <f>SUMIFS(Лист2!$C:$C,Лист2!$A:$A,A408,Лист2!$B:$B,B408)</f>
        <v>31</v>
      </c>
      <c r="F408">
        <f>SUMIFS(Лист2!$D:$D,Лист2!$A:$A,A408,Лист2!$B:$B,B408)</f>
        <v>5751</v>
      </c>
      <c r="G408">
        <f>SUMIFS(Лист2!$E:$E,Лист2!$A:$A,A408,Лист2!$B:$B,B408)</f>
        <v>5319</v>
      </c>
      <c r="H408">
        <f>D408/E408</f>
        <v>238294.06451612903</v>
      </c>
      <c r="I408">
        <f>WEEKNUM(A408,2)</f>
        <v>22</v>
      </c>
    </row>
    <row r="409" spans="1:9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>
        <f>SUMIFS(Лист2!$C:$C,Лист2!$A:$A,A409,Лист2!$B:$B,B409)</f>
        <v>10</v>
      </c>
      <c r="F409">
        <f>SUMIFS(Лист2!$D:$D,Лист2!$A:$A,A409,Лист2!$B:$B,B409)</f>
        <v>645</v>
      </c>
      <c r="G409">
        <f>SUMIFS(Лист2!$E:$E,Лист2!$A:$A,A409,Лист2!$B:$B,B409)</f>
        <v>565</v>
      </c>
      <c r="H409">
        <f>D409/E409</f>
        <v>93642.75</v>
      </c>
      <c r="I409">
        <f>WEEKNUM(A409,2)</f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>
        <f>SUMIFS(Лист2!$C:$C,Лист2!$A:$A,A410,Лист2!$B:$B,B410)</f>
        <v>10</v>
      </c>
      <c r="F410">
        <f>SUMIFS(Лист2!$D:$D,Лист2!$A:$A,A410,Лист2!$B:$B,B410)</f>
        <v>627</v>
      </c>
      <c r="G410">
        <f>SUMIFS(Лист2!$E:$E,Лист2!$A:$A,A410,Лист2!$B:$B,B410)</f>
        <v>545</v>
      </c>
      <c r="H410">
        <f>D410/E410</f>
        <v>98156.4</v>
      </c>
      <c r="I410">
        <f>WEEKNUM(A410,2)</f>
        <v>20</v>
      </c>
    </row>
    <row r="411" spans="1:9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>
        <f>SUMIFS(Лист2!$C:$C,Лист2!$A:$A,A411,Лист2!$B:$B,B411)</f>
        <v>10</v>
      </c>
      <c r="F411">
        <f>SUMIFS(Лист2!$D:$D,Лист2!$A:$A,A411,Лист2!$B:$B,B411)</f>
        <v>743</v>
      </c>
      <c r="G411">
        <f>SUMIFS(Лист2!$E:$E,Лист2!$A:$A,A411,Лист2!$B:$B,B411)</f>
        <v>652</v>
      </c>
      <c r="H411">
        <f>D411/E411</f>
        <v>115057.95</v>
      </c>
      <c r="I411">
        <f>WEEKNUM(A411,2)</f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>
        <f>SUMIFS(Лист2!$C:$C,Лист2!$A:$A,A412,Лист2!$B:$B,B412)</f>
        <v>10</v>
      </c>
      <c r="F412">
        <f>SUMIFS(Лист2!$D:$D,Лист2!$A:$A,A412,Лист2!$B:$B,B412)</f>
        <v>873</v>
      </c>
      <c r="G412">
        <f>SUMIFS(Лист2!$E:$E,Лист2!$A:$A,A412,Лист2!$B:$B,B412)</f>
        <v>770</v>
      </c>
      <c r="H412">
        <f>D412/E412</f>
        <v>127346.4</v>
      </c>
      <c r="I412">
        <f>WEEKNUM(A412,2)</f>
        <v>22</v>
      </c>
    </row>
    <row r="413" spans="1:9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>
        <f>SUMIFS(Лист2!$C:$C,Лист2!$A:$A,A413,Лист2!$B:$B,B413)</f>
        <v>20</v>
      </c>
      <c r="F413">
        <f>SUMIFS(Лист2!$D:$D,Лист2!$A:$A,A413,Лист2!$B:$B,B413)</f>
        <v>2079</v>
      </c>
      <c r="G413">
        <f>SUMIFS(Лист2!$E:$E,Лист2!$A:$A,A413,Лист2!$B:$B,B413)</f>
        <v>1856</v>
      </c>
      <c r="H413">
        <f>D413/E413</f>
        <v>146206.65</v>
      </c>
      <c r="I413">
        <f>WEEKNUM(A413,2)</f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>
        <f>SUMIFS(Лист2!$C:$C,Лист2!$A:$A,A414,Лист2!$B:$B,B414)</f>
        <v>20</v>
      </c>
      <c r="F414">
        <f>SUMIFS(Лист2!$D:$D,Лист2!$A:$A,A414,Лист2!$B:$B,B414)</f>
        <v>2306</v>
      </c>
      <c r="G414">
        <f>SUMIFS(Лист2!$E:$E,Лист2!$A:$A,A414,Лист2!$B:$B,B414)</f>
        <v>2054</v>
      </c>
      <c r="H414">
        <f>D414/E414</f>
        <v>170709</v>
      </c>
      <c r="I414">
        <f>WEEKNUM(A414,2)</f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>
        <f>SUMIFS(Лист2!$C:$C,Лист2!$A:$A,A415,Лист2!$B:$B,B415)</f>
        <v>20</v>
      </c>
      <c r="F415">
        <f>SUMIFS(Лист2!$D:$D,Лист2!$A:$A,A415,Лист2!$B:$B,B415)</f>
        <v>2136</v>
      </c>
      <c r="G415">
        <f>SUMIFS(Лист2!$E:$E,Лист2!$A:$A,A415,Лист2!$B:$B,B415)</f>
        <v>1899</v>
      </c>
      <c r="H415">
        <f>D415/E415</f>
        <v>150675.6</v>
      </c>
      <c r="I415">
        <f>WEEKNUM(A415,2)</f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>
        <f>SUMIFS(Лист2!$C:$C,Лист2!$A:$A,A416,Лист2!$B:$B,B416)</f>
        <v>19</v>
      </c>
      <c r="F416">
        <f>SUMIFS(Лист2!$D:$D,Лист2!$A:$A,A416,Лист2!$B:$B,B416)</f>
        <v>2530</v>
      </c>
      <c r="G416">
        <f>SUMIFS(Лист2!$E:$E,Лист2!$A:$A,A416,Лист2!$B:$B,B416)</f>
        <v>2270</v>
      </c>
      <c r="H416">
        <f>D416/E416</f>
        <v>205893.63157894736</v>
      </c>
      <c r="I416">
        <f>WEEKNUM(A416,2)</f>
        <v>20</v>
      </c>
    </row>
    <row r="417" spans="1:9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>
        <f>SUMIFS(Лист2!$C:$C,Лист2!$A:$A,A417,Лист2!$B:$B,B417)</f>
        <v>19</v>
      </c>
      <c r="F417">
        <f>SUMIFS(Лист2!$D:$D,Лист2!$A:$A,A417,Лист2!$B:$B,B417)</f>
        <v>1858</v>
      </c>
      <c r="G417">
        <f>SUMIFS(Лист2!$E:$E,Лист2!$A:$A,A417,Лист2!$B:$B,B417)</f>
        <v>1648</v>
      </c>
      <c r="H417">
        <f>D417/E417</f>
        <v>136218.31578947368</v>
      </c>
      <c r="I417">
        <f>WEEKNUM(A417,2)</f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>
        <f>SUMIFS(Лист2!$C:$C,Лист2!$A:$A,A418,Лист2!$B:$B,B418)</f>
        <v>19</v>
      </c>
      <c r="F418">
        <f>SUMIFS(Лист2!$D:$D,Лист2!$A:$A,A418,Лист2!$B:$B,B418)</f>
        <v>1675</v>
      </c>
      <c r="G418">
        <f>SUMIFS(Лист2!$E:$E,Лист2!$A:$A,A418,Лист2!$B:$B,B418)</f>
        <v>1475</v>
      </c>
      <c r="H418">
        <f>D418/E418</f>
        <v>128501.05263157895</v>
      </c>
      <c r="I418">
        <f>WEEKNUM(A418,2)</f>
        <v>20</v>
      </c>
    </row>
    <row r="419" spans="1:9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>
        <f>SUMIFS(Лист2!$C:$C,Лист2!$A:$A,A419,Лист2!$B:$B,B419)</f>
        <v>19</v>
      </c>
      <c r="F419">
        <f>SUMIFS(Лист2!$D:$D,Лист2!$A:$A,A419,Лист2!$B:$B,B419)</f>
        <v>1940</v>
      </c>
      <c r="G419">
        <f>SUMIFS(Лист2!$E:$E,Лист2!$A:$A,A419,Лист2!$B:$B,B419)</f>
        <v>1715</v>
      </c>
      <c r="H419">
        <f>D419/E419</f>
        <v>155214.63157894736</v>
      </c>
      <c r="I419">
        <f>WEEKNUM(A419,2)</f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>
        <f>SUMIFS(Лист2!$C:$C,Лист2!$A:$A,A420,Лист2!$B:$B,B420)</f>
        <v>20</v>
      </c>
      <c r="F420">
        <f>SUMIFS(Лист2!$D:$D,Лист2!$A:$A,A420,Лист2!$B:$B,B420)</f>
        <v>2249</v>
      </c>
      <c r="G420">
        <f>SUMIFS(Лист2!$E:$E,Лист2!$A:$A,A420,Лист2!$B:$B,B420)</f>
        <v>2000</v>
      </c>
      <c r="H420">
        <f>D420/E420</f>
        <v>162902.70000000001</v>
      </c>
      <c r="I420">
        <f>WEEKNUM(A420,2)</f>
        <v>22</v>
      </c>
    </row>
    <row r="421" spans="1:9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>
        <f>SUMIFS(Лист2!$C:$C,Лист2!$A:$A,A421,Лист2!$B:$B,B421)</f>
        <v>129</v>
      </c>
      <c r="F421">
        <f>SUMIFS(Лист2!$D:$D,Лист2!$A:$A,A421,Лист2!$B:$B,B421)</f>
        <v>17115</v>
      </c>
      <c r="G421">
        <f>SUMIFS(Лист2!$E:$E,Лист2!$A:$A,A421,Лист2!$B:$B,B421)</f>
        <v>15962</v>
      </c>
      <c r="H421">
        <f>D421/E421</f>
        <v>226798.39534883722</v>
      </c>
      <c r="I421">
        <f>WEEKNUM(A421,2)</f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>
        <f>SUMIFS(Лист2!$C:$C,Лист2!$A:$A,A422,Лист2!$B:$B,B422)</f>
        <v>129</v>
      </c>
      <c r="F422">
        <f>SUMIFS(Лист2!$D:$D,Лист2!$A:$A,A422,Лист2!$B:$B,B422)</f>
        <v>17088</v>
      </c>
      <c r="G422">
        <f>SUMIFS(Лист2!$E:$E,Лист2!$A:$A,A422,Лист2!$B:$B,B422)</f>
        <v>15804</v>
      </c>
      <c r="H422">
        <f>D422/E422</f>
        <v>228416.81395348837</v>
      </c>
      <c r="I422">
        <f>WEEKNUM(A422,2)</f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>
        <f>SUMIFS(Лист2!$C:$C,Лист2!$A:$A,A423,Лист2!$B:$B,B423)</f>
        <v>128</v>
      </c>
      <c r="F423">
        <f>SUMIFS(Лист2!$D:$D,Лист2!$A:$A,A423,Лист2!$B:$B,B423)</f>
        <v>16285</v>
      </c>
      <c r="G423">
        <f>SUMIFS(Лист2!$E:$E,Лист2!$A:$A,A423,Лист2!$B:$B,B423)</f>
        <v>15130</v>
      </c>
      <c r="H423">
        <f>D423/E423</f>
        <v>216953.84765625</v>
      </c>
      <c r="I423">
        <f>WEEKNUM(A423,2)</f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>
        <f>SUMIFS(Лист2!$C:$C,Лист2!$A:$A,A424,Лист2!$B:$B,B424)</f>
        <v>129</v>
      </c>
      <c r="F424">
        <f>SUMIFS(Лист2!$D:$D,Лист2!$A:$A,A424,Лист2!$B:$B,B424)</f>
        <v>14043</v>
      </c>
      <c r="G424">
        <f>SUMIFS(Лист2!$E:$E,Лист2!$A:$A,A424,Лист2!$B:$B,B424)</f>
        <v>13167</v>
      </c>
      <c r="H424">
        <f>D424/E424</f>
        <v>190916.53661976743</v>
      </c>
      <c r="I424">
        <f>WEEKNUM(A424,2)</f>
        <v>20</v>
      </c>
    </row>
    <row r="425" spans="1:9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>
        <f>SUMIFS(Лист2!$C:$C,Лист2!$A:$A,A425,Лист2!$B:$B,B425)</f>
        <v>129</v>
      </c>
      <c r="F425">
        <f>SUMIFS(Лист2!$D:$D,Лист2!$A:$A,A425,Лист2!$B:$B,B425)</f>
        <v>16110</v>
      </c>
      <c r="G425">
        <f>SUMIFS(Лист2!$E:$E,Лист2!$A:$A,A425,Лист2!$B:$B,B425)</f>
        <v>14992</v>
      </c>
      <c r="H425">
        <f>D425/E425</f>
        <v>213451.81509767444</v>
      </c>
      <c r="I425">
        <f>WEEKNUM(A425,2)</f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>
        <f>SUMIFS(Лист2!$C:$C,Лист2!$A:$A,A426,Лист2!$B:$B,B426)</f>
        <v>129</v>
      </c>
      <c r="F426">
        <f>SUMIFS(Лист2!$D:$D,Лист2!$A:$A,A426,Лист2!$B:$B,B426)</f>
        <v>15804</v>
      </c>
      <c r="G426">
        <f>SUMIFS(Лист2!$E:$E,Лист2!$A:$A,A426,Лист2!$B:$B,B426)</f>
        <v>14738</v>
      </c>
      <c r="H426">
        <f>D426/E426</f>
        <v>218459.62790697673</v>
      </c>
      <c r="I426">
        <f>WEEKNUM(A426,2)</f>
        <v>20</v>
      </c>
    </row>
    <row r="427" spans="1:9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>
        <f>SUMIFS(Лист2!$C:$C,Лист2!$A:$A,A427,Лист2!$B:$B,B427)</f>
        <v>129</v>
      </c>
      <c r="F427">
        <f>SUMIFS(Лист2!$D:$D,Лист2!$A:$A,A427,Лист2!$B:$B,B427)</f>
        <v>17808</v>
      </c>
      <c r="G427">
        <f>SUMIFS(Лист2!$E:$E,Лист2!$A:$A,A427,Лист2!$B:$B,B427)</f>
        <v>16486</v>
      </c>
      <c r="H427">
        <f>D427/E427</f>
        <v>250808.76744186046</v>
      </c>
      <c r="I427">
        <f>WEEKNUM(A427,2)</f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>
        <f>SUMIFS(Лист2!$C:$C,Лист2!$A:$A,A428,Лист2!$B:$B,B428)</f>
        <v>124</v>
      </c>
      <c r="F428">
        <f>SUMIFS(Лист2!$D:$D,Лист2!$A:$A,A428,Лист2!$B:$B,B428)</f>
        <v>21384</v>
      </c>
      <c r="G428">
        <f>SUMIFS(Лист2!$E:$E,Лист2!$A:$A,A428,Лист2!$B:$B,B428)</f>
        <v>19897</v>
      </c>
      <c r="H428">
        <f>D428/E428</f>
        <v>314797.2701612903</v>
      </c>
      <c r="I428">
        <f>WEEKNUM(A428,2)</f>
        <v>22</v>
      </c>
    </row>
    <row r="429" spans="1:9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>
        <f>SUMIFS(Лист2!$C:$C,Лист2!$A:$A,A429,Лист2!$B:$B,B429)</f>
        <v>125</v>
      </c>
      <c r="F429">
        <f>SUMIFS(Лист2!$D:$D,Лист2!$A:$A,A429,Лист2!$B:$B,B429)</f>
        <v>21427</v>
      </c>
      <c r="G429">
        <f>SUMIFS(Лист2!$E:$E,Лист2!$A:$A,A429,Лист2!$B:$B,B429)</f>
        <v>19799</v>
      </c>
      <c r="H429">
        <f>D429/E429</f>
        <v>315986.98800000001</v>
      </c>
      <c r="I429">
        <f>WEEKNUM(A429,2)</f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>
        <f>SUMIFS(Лист2!$C:$C,Лист2!$A:$A,A430,Лист2!$B:$B,B430)</f>
        <v>123</v>
      </c>
      <c r="F430">
        <f>SUMIFS(Лист2!$D:$D,Лист2!$A:$A,A430,Лист2!$B:$B,B430)</f>
        <v>20325</v>
      </c>
      <c r="G430">
        <f>SUMIFS(Лист2!$E:$E,Лист2!$A:$A,A430,Лист2!$B:$B,B430)</f>
        <v>18935</v>
      </c>
      <c r="H430">
        <f>D430/E430</f>
        <v>302909.26976707316</v>
      </c>
      <c r="I430">
        <f>WEEKNUM(A430,2)</f>
        <v>23</v>
      </c>
    </row>
    <row r="431" spans="1:9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>
        <f>SUMIFS(Лист2!$C:$C,Лист2!$A:$A,A431,Лист2!$B:$B,B431)</f>
        <v>125</v>
      </c>
      <c r="F431">
        <f>SUMIFS(Лист2!$D:$D,Лист2!$A:$A,A431,Лист2!$B:$B,B431)</f>
        <v>18066</v>
      </c>
      <c r="G431">
        <f>SUMIFS(Лист2!$E:$E,Лист2!$A:$A,A431,Лист2!$B:$B,B431)</f>
        <v>16883</v>
      </c>
      <c r="H431">
        <f>D431/E431</f>
        <v>270252.64799999999</v>
      </c>
      <c r="I431">
        <f>WEEKNUM(A431,2)</f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>
        <f>SUMIFS(Лист2!$C:$C,Лист2!$A:$A,A432,Лист2!$B:$B,B432)</f>
        <v>129</v>
      </c>
      <c r="F432">
        <f>SUMIFS(Лист2!$D:$D,Лист2!$A:$A,A432,Лист2!$B:$B,B432)</f>
        <v>22403</v>
      </c>
      <c r="G432">
        <f>SUMIFS(Лист2!$E:$E,Лист2!$A:$A,A432,Лист2!$B:$B,B432)</f>
        <v>20676</v>
      </c>
      <c r="H432">
        <f>D432/E432</f>
        <v>323776.27988372097</v>
      </c>
      <c r="I432">
        <f>WEEKNUM(A432,2)</f>
        <v>22</v>
      </c>
    </row>
    <row r="433" spans="1:9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>
        <f>SUMIFS(Лист2!$C:$C,Лист2!$A:$A,A433,Лист2!$B:$B,B433)</f>
        <v>125</v>
      </c>
      <c r="F433">
        <f>SUMIFS(Лист2!$D:$D,Лист2!$A:$A,A433,Лист2!$B:$B,B433)</f>
        <v>20449</v>
      </c>
      <c r="G433">
        <f>SUMIFS(Лист2!$E:$E,Лист2!$A:$A,A433,Лист2!$B:$B,B433)</f>
        <v>19060</v>
      </c>
      <c r="H433">
        <f>D433/E433</f>
        <v>295015.10399999999</v>
      </c>
      <c r="I433">
        <f>WEEKNUM(A433,2)</f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>
        <f>SUMIFS(Лист2!$C:$C,Лист2!$A:$A,A434,Лист2!$B:$B,B434)</f>
        <v>125</v>
      </c>
      <c r="F434">
        <f>SUMIFS(Лист2!$D:$D,Лист2!$A:$A,A434,Лист2!$B:$B,B434)</f>
        <v>20247</v>
      </c>
      <c r="G434">
        <f>SUMIFS(Лист2!$E:$E,Лист2!$A:$A,A434,Лист2!$B:$B,B434)</f>
        <v>18812</v>
      </c>
      <c r="H434">
        <f>D434/E434</f>
        <v>303705.20400000003</v>
      </c>
      <c r="I434">
        <f>WEEKNUM(A434,2)</f>
        <v>20</v>
      </c>
    </row>
    <row r="435" spans="1:9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>
        <f>SUMIFS(Лист2!$C:$C,Лист2!$A:$A,A435,Лист2!$B:$B,B435)</f>
        <v>125</v>
      </c>
      <c r="F435">
        <f>SUMIFS(Лист2!$D:$D,Лист2!$A:$A,A435,Лист2!$B:$B,B435)</f>
        <v>21862</v>
      </c>
      <c r="G435">
        <f>SUMIFS(Лист2!$E:$E,Лист2!$A:$A,A435,Лист2!$B:$B,B435)</f>
        <v>20235</v>
      </c>
      <c r="H435">
        <f>D435/E435</f>
        <v>338171.016</v>
      </c>
      <c r="I435">
        <f>WEEKNUM(A435,2)</f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>
        <f>SUMIFS(Лист2!$C:$C,Лист2!$A:$A,A436,Лист2!$B:$B,B436)</f>
        <v>36</v>
      </c>
      <c r="F436">
        <f>SUMIFS(Лист2!$D:$D,Лист2!$A:$A,A436,Лист2!$B:$B,B436)</f>
        <v>4951</v>
      </c>
      <c r="G436">
        <f>SUMIFS(Лист2!$E:$E,Лист2!$A:$A,A436,Лист2!$B:$B,B436)</f>
        <v>4584</v>
      </c>
      <c r="H436">
        <f>D436/E436</f>
        <v>166274.83333333334</v>
      </c>
      <c r="I436">
        <f>WEEKNUM(A436,2)</f>
        <v>22</v>
      </c>
    </row>
    <row r="437" spans="1:9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>
        <f>SUMIFS(Лист2!$C:$C,Лист2!$A:$A,A437,Лист2!$B:$B,B437)</f>
        <v>36</v>
      </c>
      <c r="F437">
        <f>SUMIFS(Лист2!$D:$D,Лист2!$A:$A,A437,Лист2!$B:$B,B437)</f>
        <v>4857</v>
      </c>
      <c r="G437">
        <f>SUMIFS(Лист2!$E:$E,Лист2!$A:$A,A437,Лист2!$B:$B,B437)</f>
        <v>4456</v>
      </c>
      <c r="H437">
        <f>D437/E437</f>
        <v>165096.91666666666</v>
      </c>
      <c r="I437">
        <f>WEEKNUM(A437,2)</f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>
        <f>SUMIFS(Лист2!$C:$C,Лист2!$A:$A,A438,Лист2!$B:$B,B438)</f>
        <v>37</v>
      </c>
      <c r="F438">
        <f>SUMIFS(Лист2!$D:$D,Лист2!$A:$A,A438,Лист2!$B:$B,B438)</f>
        <v>4722</v>
      </c>
      <c r="G438">
        <f>SUMIFS(Лист2!$E:$E,Лист2!$A:$A,A438,Лист2!$B:$B,B438)</f>
        <v>4352</v>
      </c>
      <c r="H438">
        <f>D438/E438</f>
        <v>156764.59459459459</v>
      </c>
      <c r="I438">
        <f>WEEKNUM(A438,2)</f>
        <v>23</v>
      </c>
    </row>
    <row r="439" spans="1:9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>
        <f>SUMIFS(Лист2!$C:$C,Лист2!$A:$A,A439,Лист2!$B:$B,B439)</f>
        <v>36</v>
      </c>
      <c r="F439">
        <f>SUMIFS(Лист2!$D:$D,Лист2!$A:$A,A439,Лист2!$B:$B,B439)</f>
        <v>4150</v>
      </c>
      <c r="G439">
        <f>SUMIFS(Лист2!$E:$E,Лист2!$A:$A,A439,Лист2!$B:$B,B439)</f>
        <v>3838</v>
      </c>
      <c r="H439">
        <f>D439/E439</f>
        <v>143838.04166666666</v>
      </c>
      <c r="I439">
        <f>WEEKNUM(A439,2)</f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>
        <f>SUMIFS(Лист2!$C:$C,Лист2!$A:$A,A440,Лист2!$B:$B,B440)</f>
        <v>124</v>
      </c>
      <c r="F440">
        <f>SUMIFS(Лист2!$D:$D,Лист2!$A:$A,A440,Лист2!$B:$B,B440)</f>
        <v>25828</v>
      </c>
      <c r="G440">
        <f>SUMIFS(Лист2!$E:$E,Лист2!$A:$A,A440,Лист2!$B:$B,B440)</f>
        <v>23974</v>
      </c>
      <c r="H440">
        <f>D440/E440</f>
        <v>436871.20161290321</v>
      </c>
      <c r="I440">
        <f>WEEKNUM(A440,2)</f>
        <v>22</v>
      </c>
    </row>
    <row r="441" spans="1:9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>
        <f>SUMIFS(Лист2!$C:$C,Лист2!$A:$A,A441,Лист2!$B:$B,B441)</f>
        <v>36</v>
      </c>
      <c r="F441">
        <f>SUMIFS(Лист2!$D:$D,Лист2!$A:$A,A441,Лист2!$B:$B,B441)</f>
        <v>4885</v>
      </c>
      <c r="G441">
        <f>SUMIFS(Лист2!$E:$E,Лист2!$A:$A,A441,Лист2!$B:$B,B441)</f>
        <v>4502</v>
      </c>
      <c r="H441">
        <f>D441/E441</f>
        <v>161068.79166666666</v>
      </c>
      <c r="I441">
        <f>WEEKNUM(A441,2)</f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>
        <f>SUMIFS(Лист2!$C:$C,Лист2!$A:$A,A442,Лист2!$B:$B,B442)</f>
        <v>36</v>
      </c>
      <c r="F442">
        <f>SUMIFS(Лист2!$D:$D,Лист2!$A:$A,A442,Лист2!$B:$B,B442)</f>
        <v>4285</v>
      </c>
      <c r="G442">
        <f>SUMIFS(Лист2!$E:$E,Лист2!$A:$A,A442,Лист2!$B:$B,B442)</f>
        <v>3950</v>
      </c>
      <c r="H442">
        <f>D442/E442</f>
        <v>149072.29166666666</v>
      </c>
      <c r="I442">
        <f>WEEKNUM(A442,2)</f>
        <v>20</v>
      </c>
    </row>
    <row r="443" spans="1:9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>
        <f>SUMIFS(Лист2!$C:$C,Лист2!$A:$A,A443,Лист2!$B:$B,B443)</f>
        <v>36</v>
      </c>
      <c r="F443">
        <f>SUMIFS(Лист2!$D:$D,Лист2!$A:$A,A443,Лист2!$B:$B,B443)</f>
        <v>4862</v>
      </c>
      <c r="G443">
        <f>SUMIFS(Лист2!$E:$E,Лист2!$A:$A,A443,Лист2!$B:$B,B443)</f>
        <v>4476</v>
      </c>
      <c r="H443">
        <f>D443/E443</f>
        <v>174832</v>
      </c>
      <c r="I443">
        <f>WEEKNUM(A443,2)</f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>
        <f>SUMIFS(Лист2!$C:$C,Лист2!$A:$A,A444,Лист2!$B:$B,B444)</f>
        <v>21</v>
      </c>
      <c r="F444">
        <f>SUMIFS(Лист2!$D:$D,Лист2!$A:$A,A444,Лист2!$B:$B,B444)</f>
        <v>2430</v>
      </c>
      <c r="G444">
        <f>SUMIFS(Лист2!$E:$E,Лист2!$A:$A,A444,Лист2!$B:$B,B444)</f>
        <v>2216</v>
      </c>
      <c r="H444">
        <f>D444/E444</f>
        <v>180040.57142857142</v>
      </c>
      <c r="I444">
        <f>WEEKNUM(A444,2)</f>
        <v>22</v>
      </c>
    </row>
    <row r="445" spans="1:9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>
        <f>SUMIFS(Лист2!$C:$C,Лист2!$A:$A,A445,Лист2!$B:$B,B445)</f>
        <v>21</v>
      </c>
      <c r="F445">
        <f>SUMIFS(Лист2!$D:$D,Лист2!$A:$A,A445,Лист2!$B:$B,B445)</f>
        <v>2861</v>
      </c>
      <c r="G445">
        <f>SUMIFS(Лист2!$E:$E,Лист2!$A:$A,A445,Лист2!$B:$B,B445)</f>
        <v>2612</v>
      </c>
      <c r="H445">
        <f>D445/E445</f>
        <v>230515.85714285713</v>
      </c>
      <c r="I445">
        <f>WEEKNUM(A445,2)</f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>
        <f>SUMIFS(Лист2!$C:$C,Лист2!$A:$A,A446,Лист2!$B:$B,B446)</f>
        <v>23</v>
      </c>
      <c r="F446">
        <f>SUMIFS(Лист2!$D:$D,Лист2!$A:$A,A446,Лист2!$B:$B,B446)</f>
        <v>2531</v>
      </c>
      <c r="G446">
        <f>SUMIFS(Лист2!$E:$E,Лист2!$A:$A,A446,Лист2!$B:$B,B446)</f>
        <v>2296</v>
      </c>
      <c r="H446">
        <f>D446/E446</f>
        <v>168054.39130434784</v>
      </c>
      <c r="I446">
        <f>WEEKNUM(A446,2)</f>
        <v>23</v>
      </c>
    </row>
    <row r="447" spans="1:9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>
        <f>SUMIFS(Лист2!$C:$C,Лист2!$A:$A,A447,Лист2!$B:$B,B447)</f>
        <v>21</v>
      </c>
      <c r="F447">
        <f>SUMIFS(Лист2!$D:$D,Лист2!$A:$A,A447,Лист2!$B:$B,B447)</f>
        <v>1916</v>
      </c>
      <c r="G447">
        <f>SUMIFS(Лист2!$E:$E,Лист2!$A:$A,A447,Лист2!$B:$B,B447)</f>
        <v>1733</v>
      </c>
      <c r="H447">
        <f>D447/E447</f>
        <v>146649.07142857142</v>
      </c>
      <c r="I447">
        <f>WEEKNUM(A447,2)</f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>
        <f>SUMIFS(Лист2!$C:$C,Лист2!$A:$A,A448,Лист2!$B:$B,B448)</f>
        <v>37</v>
      </c>
      <c r="F448">
        <f>SUMIFS(Лист2!$D:$D,Лист2!$A:$A,A448,Лист2!$B:$B,B448)</f>
        <v>5672</v>
      </c>
      <c r="G448">
        <f>SUMIFS(Лист2!$E:$E,Лист2!$A:$A,A448,Лист2!$B:$B,B448)</f>
        <v>5198</v>
      </c>
      <c r="H448">
        <f>D448/E448</f>
        <v>195362.02702702704</v>
      </c>
      <c r="I448">
        <f>WEEKNUM(A448,2)</f>
        <v>22</v>
      </c>
    </row>
    <row r="449" spans="1:9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>
        <f>SUMIFS(Лист2!$C:$C,Лист2!$A:$A,A449,Лист2!$B:$B,B449)</f>
        <v>21</v>
      </c>
      <c r="F449">
        <f>SUMIFS(Лист2!$D:$D,Лист2!$A:$A,A449,Лист2!$B:$B,B449)</f>
        <v>2136</v>
      </c>
      <c r="G449">
        <f>SUMIFS(Лист2!$E:$E,Лист2!$A:$A,A449,Лист2!$B:$B,B449)</f>
        <v>1947</v>
      </c>
      <c r="H449">
        <f>D449/E449</f>
        <v>160006.42857142858</v>
      </c>
      <c r="I449">
        <f>WEEKNUM(A449,2)</f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>
        <f>SUMIFS(Лист2!$C:$C,Лист2!$A:$A,A450,Лист2!$B:$B,B450)</f>
        <v>21</v>
      </c>
      <c r="F450">
        <f>SUMIFS(Лист2!$D:$D,Лист2!$A:$A,A450,Лист2!$B:$B,B450)</f>
        <v>1993</v>
      </c>
      <c r="G450">
        <f>SUMIFS(Лист2!$E:$E,Лист2!$A:$A,A450,Лист2!$B:$B,B450)</f>
        <v>1796</v>
      </c>
      <c r="H450">
        <f>D450/E450</f>
        <v>150784.71428571429</v>
      </c>
      <c r="I450">
        <f>WEEKNUM(A450,2)</f>
        <v>20</v>
      </c>
    </row>
    <row r="451" spans="1:9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>
        <f>SUMIFS(Лист2!$C:$C,Лист2!$A:$A,A451,Лист2!$B:$B,B451)</f>
        <v>21</v>
      </c>
      <c r="F451">
        <f>SUMIFS(Лист2!$D:$D,Лист2!$A:$A,A451,Лист2!$B:$B,B451)</f>
        <v>2255</v>
      </c>
      <c r="G451">
        <f>SUMIFS(Лист2!$E:$E,Лист2!$A:$A,A451,Лист2!$B:$B,B451)</f>
        <v>2045</v>
      </c>
      <c r="H451">
        <f>D451/E451</f>
        <v>179631.35714285713</v>
      </c>
      <c r="I451">
        <f>WEEKNUM(A451,2)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>
        <f>SUMIFS(Лист2!$C:$C,Лист2!$A:$A,A452,Лист2!$B:$B,B452)</f>
        <v>22</v>
      </c>
      <c r="F452">
        <f>SUMIFS(Лист2!$D:$D,Лист2!$A:$A,A452,Лист2!$B:$B,B452)</f>
        <v>2597</v>
      </c>
      <c r="G452">
        <f>SUMIFS(Лист2!$E:$E,Лист2!$A:$A,A452,Лист2!$B:$B,B452)</f>
        <v>2379</v>
      </c>
      <c r="H452">
        <f>D452/E452</f>
        <v>186754.36363636365</v>
      </c>
      <c r="I452">
        <f>WEEKNUM(A452,2)</f>
        <v>22</v>
      </c>
    </row>
    <row r="453" spans="1:9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>
        <f>SUMIFS(Лист2!$C:$C,Лист2!$A:$A,A453,Лист2!$B:$B,B453)</f>
        <v>17</v>
      </c>
      <c r="F453">
        <f>SUMIFS(Лист2!$D:$D,Лист2!$A:$A,A453,Лист2!$B:$B,B453)</f>
        <v>1203</v>
      </c>
      <c r="G453">
        <f>SUMIFS(Лист2!$E:$E,Лист2!$A:$A,A453,Лист2!$B:$B,B453)</f>
        <v>1077</v>
      </c>
      <c r="H453">
        <f>D453/E453</f>
        <v>94299.088235294112</v>
      </c>
      <c r="I453">
        <f>WEEKNUM(A453,2)</f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>
        <f>SUMIFS(Лист2!$C:$C,Лист2!$A:$A,A454,Лист2!$B:$B,B454)</f>
        <v>17</v>
      </c>
      <c r="F454">
        <f>SUMIFS(Лист2!$D:$D,Лист2!$A:$A,A454,Лист2!$B:$B,B454)</f>
        <v>1268</v>
      </c>
      <c r="G454">
        <f>SUMIFS(Лист2!$E:$E,Лист2!$A:$A,A454,Лист2!$B:$B,B454)</f>
        <v>1129</v>
      </c>
      <c r="H454">
        <f>D454/E454</f>
        <v>104372.29411764706</v>
      </c>
      <c r="I454">
        <f>WEEKNUM(A454,2)</f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>
        <f>SUMIFS(Лист2!$C:$C,Лист2!$A:$A,A455,Лист2!$B:$B,B455)</f>
        <v>17</v>
      </c>
      <c r="F455">
        <f>SUMIFS(Лист2!$D:$D,Лист2!$A:$A,A455,Лист2!$B:$B,B455)</f>
        <v>1185</v>
      </c>
      <c r="G455">
        <f>SUMIFS(Лист2!$E:$E,Лист2!$A:$A,A455,Лист2!$B:$B,B455)</f>
        <v>1042</v>
      </c>
      <c r="H455">
        <f>D455/E455</f>
        <v>89800.5</v>
      </c>
      <c r="I455">
        <f>WEEKNUM(A455,2)</f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>
        <f>SUMIFS(Лист2!$C:$C,Лист2!$A:$A,A456,Лист2!$B:$B,B456)</f>
        <v>15</v>
      </c>
      <c r="F456">
        <f>SUMIFS(Лист2!$D:$D,Лист2!$A:$A,A456,Лист2!$B:$B,B456)</f>
        <v>812</v>
      </c>
      <c r="G456">
        <f>SUMIFS(Лист2!$E:$E,Лист2!$A:$A,A456,Лист2!$B:$B,B456)</f>
        <v>714</v>
      </c>
      <c r="H456">
        <f>D456/E456</f>
        <v>73066.8</v>
      </c>
      <c r="I456">
        <f>WEEKNUM(A456,2)</f>
        <v>20</v>
      </c>
    </row>
    <row r="457" spans="1:9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>
        <f>SUMIFS(Лист2!$C:$C,Лист2!$A:$A,A457,Лист2!$B:$B,B457)</f>
        <v>16</v>
      </c>
      <c r="F457">
        <f>SUMIFS(Лист2!$D:$D,Лист2!$A:$A,A457,Лист2!$B:$B,B457)</f>
        <v>925</v>
      </c>
      <c r="G457">
        <f>SUMIFS(Лист2!$E:$E,Лист2!$A:$A,A457,Лист2!$B:$B,B457)</f>
        <v>816</v>
      </c>
      <c r="H457">
        <f>D457/E457</f>
        <v>77885.15625</v>
      </c>
      <c r="I457">
        <f>WEEKNUM(A457,2)</f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>
        <f>SUMIFS(Лист2!$C:$C,Лист2!$A:$A,A458,Лист2!$B:$B,B458)</f>
        <v>15</v>
      </c>
      <c r="F458">
        <f>SUMIFS(Лист2!$D:$D,Лист2!$A:$A,A458,Лист2!$B:$B,B458)</f>
        <v>890</v>
      </c>
      <c r="G458">
        <f>SUMIFS(Лист2!$E:$E,Лист2!$A:$A,A458,Лист2!$B:$B,B458)</f>
        <v>777</v>
      </c>
      <c r="H458">
        <f>D458/E458</f>
        <v>81566.100000000006</v>
      </c>
      <c r="I458">
        <f>WEEKNUM(A458,2)</f>
        <v>20</v>
      </c>
    </row>
    <row r="459" spans="1:9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>
        <f>SUMIFS(Лист2!$C:$C,Лист2!$A:$A,A459,Лист2!$B:$B,B459)</f>
        <v>15</v>
      </c>
      <c r="F459">
        <f>SUMIFS(Лист2!$D:$D,Лист2!$A:$A,A459,Лист2!$B:$B,B459)</f>
        <v>980</v>
      </c>
      <c r="G459">
        <f>SUMIFS(Лист2!$E:$E,Лист2!$A:$A,A459,Лист2!$B:$B,B459)</f>
        <v>867</v>
      </c>
      <c r="H459">
        <f>D459/E459</f>
        <v>91365.5</v>
      </c>
      <c r="I459">
        <f>WEEKNUM(A459,2)</f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>
        <f>SUMIFS(Лист2!$C:$C,Лист2!$A:$A,A460,Лист2!$B:$B,B460)</f>
        <v>15</v>
      </c>
      <c r="F460">
        <f>SUMIFS(Лист2!$D:$D,Лист2!$A:$A,A460,Лист2!$B:$B,B460)</f>
        <v>809</v>
      </c>
      <c r="G460">
        <f>SUMIFS(Лист2!$E:$E,Лист2!$A:$A,A460,Лист2!$B:$B,B460)</f>
        <v>702</v>
      </c>
      <c r="H460">
        <f>D460/E460</f>
        <v>80763.8</v>
      </c>
      <c r="I460">
        <f>WEEKNUM(A460,2)</f>
        <v>22</v>
      </c>
    </row>
    <row r="461" spans="1:9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>
        <f>SUMIFS(Лист2!$C:$C,Лист2!$A:$A,A461,Лист2!$B:$B,B461)</f>
        <v>15</v>
      </c>
      <c r="F461">
        <f>SUMIFS(Лист2!$D:$D,Лист2!$A:$A,A461,Лист2!$B:$B,B461)</f>
        <v>903</v>
      </c>
      <c r="G461">
        <f>SUMIFS(Лист2!$E:$E,Лист2!$A:$A,A461,Лист2!$B:$B,B461)</f>
        <v>792</v>
      </c>
      <c r="H461">
        <f>D461/E461</f>
        <v>94127.3</v>
      </c>
      <c r="I461">
        <f>WEEKNUM(A461,2)</f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>
        <f>SUMIFS(Лист2!$C:$C,Лист2!$A:$A,A462,Лист2!$B:$B,B462)</f>
        <v>16</v>
      </c>
      <c r="F462">
        <f>SUMIFS(Лист2!$D:$D,Лист2!$A:$A,A462,Лист2!$B:$B,B462)</f>
        <v>1019</v>
      </c>
      <c r="G462">
        <f>SUMIFS(Лист2!$E:$E,Лист2!$A:$A,A462,Лист2!$B:$B,B462)</f>
        <v>895</v>
      </c>
      <c r="H462">
        <f>D462/E462</f>
        <v>97852.03125</v>
      </c>
      <c r="I462">
        <f>WEEKNUM(A462,2)</f>
        <v>23</v>
      </c>
    </row>
    <row r="463" spans="1:9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>
        <f>SUMIFS(Лист2!$C:$C,Лист2!$A:$A,A463,Лист2!$B:$B,B463)</f>
        <v>15</v>
      </c>
      <c r="F463">
        <f>SUMIFS(Лист2!$D:$D,Лист2!$A:$A,A463,Лист2!$B:$B,B463)</f>
        <v>684</v>
      </c>
      <c r="G463">
        <f>SUMIFS(Лист2!$E:$E,Лист2!$A:$A,A463,Лист2!$B:$B,B463)</f>
        <v>585</v>
      </c>
      <c r="H463">
        <f>D463/E463</f>
        <v>72077.2</v>
      </c>
      <c r="I463">
        <f>WEEKNUM(A463,2)</f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>
        <f>SUMIFS(Лист2!$C:$C,Лист2!$A:$A,A464,Лист2!$B:$B,B464)</f>
        <v>17</v>
      </c>
      <c r="F464">
        <f>SUMIFS(Лист2!$D:$D,Лист2!$A:$A,A464,Лист2!$B:$B,B464)</f>
        <v>1296</v>
      </c>
      <c r="G464">
        <f>SUMIFS(Лист2!$E:$E,Лист2!$A:$A,A464,Лист2!$B:$B,B464)</f>
        <v>1153</v>
      </c>
      <c r="H464">
        <f>D464/E464</f>
        <v>103804.05882352941</v>
      </c>
      <c r="I464">
        <f>WEEKNUM(A464,2)</f>
        <v>22</v>
      </c>
    </row>
    <row r="465" spans="1:9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>
        <f>SUMIFS(Лист2!$C:$C,Лист2!$A:$A,A465,Лист2!$B:$B,B465)</f>
        <v>15</v>
      </c>
      <c r="F465">
        <f>SUMIFS(Лист2!$D:$D,Лист2!$A:$A,A465,Лист2!$B:$B,B465)</f>
        <v>729</v>
      </c>
      <c r="G465">
        <f>SUMIFS(Лист2!$E:$E,Лист2!$A:$A,A465,Лист2!$B:$B,B465)</f>
        <v>636</v>
      </c>
      <c r="H465">
        <f>D465/E465</f>
        <v>74343.100000000006</v>
      </c>
      <c r="I465">
        <f>WEEKNUM(A465,2)</f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>
        <f>SUMIFS(Лист2!$C:$C,Лист2!$A:$A,A466,Лист2!$B:$B,B466)</f>
        <v>15</v>
      </c>
      <c r="F466">
        <f>SUMIFS(Лист2!$D:$D,Лист2!$A:$A,A466,Лист2!$B:$B,B466)</f>
        <v>638</v>
      </c>
      <c r="G466">
        <f>SUMIFS(Лист2!$E:$E,Лист2!$A:$A,A466,Лист2!$B:$B,B466)</f>
        <v>548</v>
      </c>
      <c r="H466">
        <f>D466/E466</f>
        <v>64233.5</v>
      </c>
      <c r="I466">
        <f>WEEKNUM(A466,2)</f>
        <v>20</v>
      </c>
    </row>
    <row r="467" spans="1:9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>
        <f>SUMIFS(Лист2!$C:$C,Лист2!$A:$A,A467,Лист2!$B:$B,B467)</f>
        <v>15</v>
      </c>
      <c r="F467">
        <f>SUMIFS(Лист2!$D:$D,Лист2!$A:$A,A467,Лист2!$B:$B,B467)</f>
        <v>688</v>
      </c>
      <c r="G467">
        <f>SUMIFS(Лист2!$E:$E,Лист2!$A:$A,A467,Лист2!$B:$B,B467)</f>
        <v>598</v>
      </c>
      <c r="H467">
        <f>D467/E467</f>
        <v>74848.7</v>
      </c>
      <c r="I467">
        <f>WEEKNUM(A467,2)</f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>
        <f>SUMIFS(Лист2!$C:$C,Лист2!$A:$A,A468,Лист2!$B:$B,B468)</f>
        <v>20</v>
      </c>
      <c r="F468">
        <f>SUMIFS(Лист2!$D:$D,Лист2!$A:$A,A468,Лист2!$B:$B,B468)</f>
        <v>1873</v>
      </c>
      <c r="G468">
        <f>SUMIFS(Лист2!$E:$E,Лист2!$A:$A,A468,Лист2!$B:$B,B468)</f>
        <v>1715</v>
      </c>
      <c r="H468">
        <f>D468/E468</f>
        <v>122927.77499999999</v>
      </c>
      <c r="I468">
        <f>WEEKNUM(A468,2)</f>
        <v>22</v>
      </c>
    </row>
    <row r="469" spans="1:9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>
        <f>SUMIFS(Лист2!$C:$C,Лист2!$A:$A,A469,Лист2!$B:$B,B469)</f>
        <v>19</v>
      </c>
      <c r="F469">
        <f>SUMIFS(Лист2!$D:$D,Лист2!$A:$A,A469,Лист2!$B:$B,B469)</f>
        <v>1859</v>
      </c>
      <c r="G469">
        <f>SUMIFS(Лист2!$E:$E,Лист2!$A:$A,A469,Лист2!$B:$B,B469)</f>
        <v>1697</v>
      </c>
      <c r="H469">
        <f>D469/E469</f>
        <v>133721.84210526315</v>
      </c>
      <c r="I469">
        <f>WEEKNUM(A469,2)</f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>
        <f>SUMIFS(Лист2!$C:$C,Лист2!$A:$A,A470,Лист2!$B:$B,B470)</f>
        <v>21</v>
      </c>
      <c r="F470">
        <f>SUMIFS(Лист2!$D:$D,Лист2!$A:$A,A470,Лист2!$B:$B,B470)</f>
        <v>1879</v>
      </c>
      <c r="G470">
        <f>SUMIFS(Лист2!$E:$E,Лист2!$A:$A,A470,Лист2!$B:$B,B470)</f>
        <v>1720</v>
      </c>
      <c r="H470">
        <f>D470/E470</f>
        <v>120903.21428571429</v>
      </c>
      <c r="I470">
        <f>WEEKNUM(A470,2)</f>
        <v>23</v>
      </c>
    </row>
    <row r="471" spans="1:9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>
        <f>SUMIFS(Лист2!$C:$C,Лист2!$A:$A,A471,Лист2!$B:$B,B471)</f>
        <v>19</v>
      </c>
      <c r="F471">
        <f>SUMIFS(Лист2!$D:$D,Лист2!$A:$A,A471,Лист2!$B:$B,B471)</f>
        <v>1527</v>
      </c>
      <c r="G471">
        <f>SUMIFS(Лист2!$E:$E,Лист2!$A:$A,A471,Лист2!$B:$B,B471)</f>
        <v>1389</v>
      </c>
      <c r="H471">
        <f>D471/E471</f>
        <v>113913.94736842105</v>
      </c>
      <c r="I471">
        <f>WEEKNUM(A471,2)</f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>
        <f>SUMIFS(Лист2!$C:$C,Лист2!$A:$A,A472,Лист2!$B:$B,B472)</f>
        <v>16</v>
      </c>
      <c r="F472">
        <f>SUMIFS(Лист2!$D:$D,Лист2!$A:$A,A472,Лист2!$B:$B,B472)</f>
        <v>981</v>
      </c>
      <c r="G472">
        <f>SUMIFS(Лист2!$E:$E,Лист2!$A:$A,A472,Лист2!$B:$B,B472)</f>
        <v>859</v>
      </c>
      <c r="H472">
        <f>D472/E472</f>
        <v>96813.75</v>
      </c>
      <c r="I472">
        <f>WEEKNUM(A472,2)</f>
        <v>22</v>
      </c>
    </row>
    <row r="473" spans="1:9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>
        <f>SUMIFS(Лист2!$C:$C,Лист2!$A:$A,A473,Лист2!$B:$B,B473)</f>
        <v>19</v>
      </c>
      <c r="F473">
        <f>SUMIFS(Лист2!$D:$D,Лист2!$A:$A,A473,Лист2!$B:$B,B473)</f>
        <v>1741</v>
      </c>
      <c r="G473">
        <f>SUMIFS(Лист2!$E:$E,Лист2!$A:$A,A473,Лист2!$B:$B,B473)</f>
        <v>1597</v>
      </c>
      <c r="H473">
        <f>D473/E473</f>
        <v>122341.57894736843</v>
      </c>
      <c r="I473">
        <f>WEEKNUM(A473,2)</f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>
        <f>SUMIFS(Лист2!$C:$C,Лист2!$A:$A,A474,Лист2!$B:$B,B474)</f>
        <v>19</v>
      </c>
      <c r="F474">
        <f>SUMIFS(Лист2!$D:$D,Лист2!$A:$A,A474,Лист2!$B:$B,B474)</f>
        <v>1635</v>
      </c>
      <c r="G474">
        <f>SUMIFS(Лист2!$E:$E,Лист2!$A:$A,A474,Лист2!$B:$B,B474)</f>
        <v>1487</v>
      </c>
      <c r="H474">
        <f>D474/E474</f>
        <v>117123.23684210527</v>
      </c>
      <c r="I474">
        <f>WEEKNUM(A474,2)</f>
        <v>20</v>
      </c>
    </row>
    <row r="475" spans="1:9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>
        <f>SUMIFS(Лист2!$C:$C,Лист2!$A:$A,A475,Лист2!$B:$B,B475)</f>
        <v>19</v>
      </c>
      <c r="F475">
        <f>SUMIFS(Лист2!$D:$D,Лист2!$A:$A,A475,Лист2!$B:$B,B475)</f>
        <v>1780</v>
      </c>
      <c r="G475">
        <f>SUMIFS(Лист2!$E:$E,Лист2!$A:$A,A475,Лист2!$B:$B,B475)</f>
        <v>1615</v>
      </c>
      <c r="H475">
        <f>D475/E475</f>
        <v>130394.05263157895</v>
      </c>
      <c r="I475">
        <f>WEEKNUM(A475,2)</f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>
        <f>SUMIFS(Лист2!$C:$C,Лист2!$A:$A,A476,Лист2!$B:$B,B476)</f>
        <v>20</v>
      </c>
      <c r="F476">
        <f>SUMIFS(Лист2!$D:$D,Лист2!$A:$A,A476,Лист2!$B:$B,B476)</f>
        <v>2064</v>
      </c>
      <c r="G476">
        <f>SUMIFS(Лист2!$E:$E,Лист2!$A:$A,A476,Лист2!$B:$B,B476)</f>
        <v>1896</v>
      </c>
      <c r="H476">
        <f>D476/E476</f>
        <v>142737.07500000001</v>
      </c>
      <c r="I476">
        <f>WEEKNUM(A476,2)</f>
        <v>22</v>
      </c>
    </row>
    <row r="477" spans="1:9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>
        <f>SUMIFS(Лист2!$C:$C,Лист2!$A:$A,A477,Лист2!$B:$B,B477)</f>
        <v>59</v>
      </c>
      <c r="F477">
        <f>SUMIFS(Лист2!$D:$D,Лист2!$A:$A,A477,Лист2!$B:$B,B477)</f>
        <v>13942</v>
      </c>
      <c r="G477">
        <f>SUMIFS(Лист2!$E:$E,Лист2!$A:$A,A477,Лист2!$B:$B,B477)</f>
        <v>12986</v>
      </c>
      <c r="H477">
        <f>D477/E477</f>
        <v>378683.05932203389</v>
      </c>
      <c r="I477">
        <f>WEEKNUM(A477,2)</f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>
        <f>SUMIFS(Лист2!$C:$C,Лист2!$A:$A,A478,Лист2!$B:$B,B478)</f>
        <v>60</v>
      </c>
      <c r="F478">
        <f>SUMIFS(Лист2!$D:$D,Лист2!$A:$A,A478,Лист2!$B:$B,B478)</f>
        <v>14050</v>
      </c>
      <c r="G478">
        <f>SUMIFS(Лист2!$E:$E,Лист2!$A:$A,A478,Лист2!$B:$B,B478)</f>
        <v>13027</v>
      </c>
      <c r="H478">
        <f>D478/E478</f>
        <v>373012.875</v>
      </c>
      <c r="I478">
        <f>WEEKNUM(A478,2)</f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>
        <f>SUMIFS(Лист2!$C:$C,Лист2!$A:$A,A479,Лист2!$B:$B,B479)</f>
        <v>59</v>
      </c>
      <c r="F479">
        <f>SUMIFS(Лист2!$D:$D,Лист2!$A:$A,A479,Лист2!$B:$B,B479)</f>
        <v>12299</v>
      </c>
      <c r="G479">
        <f>SUMIFS(Лист2!$E:$E,Лист2!$A:$A,A479,Лист2!$B:$B,B479)</f>
        <v>11448</v>
      </c>
      <c r="H479">
        <f>D479/E479</f>
        <v>329921.56779661018</v>
      </c>
      <c r="I479">
        <f>WEEKNUM(A479,2)</f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>
        <f>SUMIFS(Лист2!$C:$C,Лист2!$A:$A,A480,Лист2!$B:$B,B480)</f>
        <v>60</v>
      </c>
      <c r="F480">
        <f>SUMIFS(Лист2!$D:$D,Лист2!$A:$A,A480,Лист2!$B:$B,B480)</f>
        <v>11100</v>
      </c>
      <c r="G480">
        <f>SUMIFS(Лист2!$E:$E,Лист2!$A:$A,A480,Лист2!$B:$B,B480)</f>
        <v>10407</v>
      </c>
      <c r="H480">
        <f>D480/E480</f>
        <v>298652.40000000002</v>
      </c>
      <c r="I480">
        <f>WEEKNUM(A480,2)</f>
        <v>20</v>
      </c>
    </row>
    <row r="481" spans="1:9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>
        <f>SUMIFS(Лист2!$C:$C,Лист2!$A:$A,A481,Лист2!$B:$B,B481)</f>
        <v>60</v>
      </c>
      <c r="F481">
        <f>SUMIFS(Лист2!$D:$D,Лист2!$A:$A,A481,Лист2!$B:$B,B481)</f>
        <v>12460</v>
      </c>
      <c r="G481">
        <f>SUMIFS(Лист2!$E:$E,Лист2!$A:$A,A481,Лист2!$B:$B,B481)</f>
        <v>11665</v>
      </c>
      <c r="H481">
        <f>D481/E481</f>
        <v>340373.92499999999</v>
      </c>
      <c r="I481">
        <f>WEEKNUM(A481,2)</f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>
        <f>SUMIFS(Лист2!$C:$C,Лист2!$A:$A,A482,Лист2!$B:$B,B482)</f>
        <v>60</v>
      </c>
      <c r="F482">
        <f>SUMIFS(Лист2!$D:$D,Лист2!$A:$A,A482,Лист2!$B:$B,B482)</f>
        <v>11935</v>
      </c>
      <c r="G482">
        <f>SUMIFS(Лист2!$E:$E,Лист2!$A:$A,A482,Лист2!$B:$B,B482)</f>
        <v>11178</v>
      </c>
      <c r="H482">
        <f>D482/E482</f>
        <v>332373.92499999999</v>
      </c>
      <c r="I482">
        <f>WEEKNUM(A482,2)</f>
        <v>20</v>
      </c>
    </row>
    <row r="483" spans="1:9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>
        <f>SUMIFS(Лист2!$C:$C,Лист2!$A:$A,A483,Лист2!$B:$B,B483)</f>
        <v>60</v>
      </c>
      <c r="F483">
        <f>SUMIFS(Лист2!$D:$D,Лист2!$A:$A,A483,Лист2!$B:$B,B483)</f>
        <v>13544</v>
      </c>
      <c r="G483">
        <f>SUMIFS(Лист2!$E:$E,Лист2!$A:$A,A483,Лист2!$B:$B,B483)</f>
        <v>12643</v>
      </c>
      <c r="H483">
        <f>D483/E483</f>
        <v>384753.7</v>
      </c>
      <c r="I483">
        <f>WEEKNUM(A483,2)</f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>
        <f>SUMIFS(Лист2!$C:$C,Лист2!$A:$A,A484,Лист2!$B:$B,B484)</f>
        <v>54</v>
      </c>
      <c r="F484">
        <f>SUMIFS(Лист2!$D:$D,Лист2!$A:$A,A484,Лист2!$B:$B,B484)</f>
        <v>13091</v>
      </c>
      <c r="G484">
        <f>SUMIFS(Лист2!$E:$E,Лист2!$A:$A,A484,Лист2!$B:$B,B484)</f>
        <v>12216</v>
      </c>
      <c r="H484">
        <f>D484/E484</f>
        <v>388024.52777777775</v>
      </c>
      <c r="I484">
        <f>WEEKNUM(A484,2)</f>
        <v>22</v>
      </c>
    </row>
    <row r="485" spans="1:9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>
        <f>SUMIFS(Лист2!$C:$C,Лист2!$A:$A,A485,Лист2!$B:$B,B485)</f>
        <v>54</v>
      </c>
      <c r="F485">
        <f>SUMIFS(Лист2!$D:$D,Лист2!$A:$A,A485,Лист2!$B:$B,B485)</f>
        <v>13014</v>
      </c>
      <c r="G485">
        <f>SUMIFS(Лист2!$E:$E,Лист2!$A:$A,A485,Лист2!$B:$B,B485)</f>
        <v>12095</v>
      </c>
      <c r="H485">
        <f>D485/E485</f>
        <v>385418.25</v>
      </c>
      <c r="I485">
        <f>WEEKNUM(A485,2)</f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>
        <f>SUMIFS(Лист2!$C:$C,Лист2!$A:$A,A486,Лист2!$B:$B,B486)</f>
        <v>54</v>
      </c>
      <c r="F486">
        <f>SUMIFS(Лист2!$D:$D,Лист2!$A:$A,A486,Лист2!$B:$B,B486)</f>
        <v>11864</v>
      </c>
      <c r="G486">
        <f>SUMIFS(Лист2!$E:$E,Лист2!$A:$A,A486,Лист2!$B:$B,B486)</f>
        <v>11071</v>
      </c>
      <c r="H486">
        <f>D486/E486</f>
        <v>350262.86111111112</v>
      </c>
      <c r="I486">
        <f>WEEKNUM(A486,2)</f>
        <v>23</v>
      </c>
    </row>
    <row r="487" spans="1:9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>
        <f>SUMIFS(Лист2!$C:$C,Лист2!$A:$A,A487,Лист2!$B:$B,B487)</f>
        <v>54</v>
      </c>
      <c r="F487">
        <f>SUMIFS(Лист2!$D:$D,Лист2!$A:$A,A487,Лист2!$B:$B,B487)</f>
        <v>10570</v>
      </c>
      <c r="G487">
        <f>SUMIFS(Лист2!$E:$E,Лист2!$A:$A,A487,Лист2!$B:$B,B487)</f>
        <v>9926</v>
      </c>
      <c r="H487">
        <f>D487/E487</f>
        <v>314282.05555555556</v>
      </c>
      <c r="I487">
        <f>WEEKNUM(A487,2)</f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>
        <f>SUMIFS(Лист2!$C:$C,Лист2!$A:$A,A488,Лист2!$B:$B,B488)</f>
        <v>59</v>
      </c>
      <c r="F488">
        <f>SUMIFS(Лист2!$D:$D,Лист2!$A:$A,A488,Лист2!$B:$B,B488)</f>
        <v>14507</v>
      </c>
      <c r="G488">
        <f>SUMIFS(Лист2!$E:$E,Лист2!$A:$A,A488,Лист2!$B:$B,B488)</f>
        <v>13386</v>
      </c>
      <c r="H488">
        <f>D488/E488</f>
        <v>391871.92372881353</v>
      </c>
      <c r="I488">
        <f>WEEKNUM(A488,2)</f>
        <v>22</v>
      </c>
    </row>
    <row r="489" spans="1:9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>
        <f>SUMIFS(Лист2!$C:$C,Лист2!$A:$A,A489,Лист2!$B:$B,B489)</f>
        <v>54</v>
      </c>
      <c r="F489">
        <f>SUMIFS(Лист2!$D:$D,Лист2!$A:$A,A489,Лист2!$B:$B,B489)</f>
        <v>12012</v>
      </c>
      <c r="G489">
        <f>SUMIFS(Лист2!$E:$E,Лист2!$A:$A,A489,Лист2!$B:$B,B489)</f>
        <v>11308</v>
      </c>
      <c r="H489">
        <f>D489/E489</f>
        <v>367687.44444444444</v>
      </c>
      <c r="I489">
        <f>WEEKNUM(A489,2)</f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>
        <f>SUMIFS(Лист2!$C:$C,Лист2!$A:$A,A490,Лист2!$B:$B,B490)</f>
        <v>54</v>
      </c>
      <c r="F490">
        <f>SUMIFS(Лист2!$D:$D,Лист2!$A:$A,A490,Лист2!$B:$B,B490)</f>
        <v>11194</v>
      </c>
      <c r="G490">
        <f>SUMIFS(Лист2!$E:$E,Лист2!$A:$A,A490,Лист2!$B:$B,B490)</f>
        <v>10554</v>
      </c>
      <c r="H490">
        <f>D490/E490</f>
        <v>345203.66666666669</v>
      </c>
      <c r="I490">
        <f>WEEKNUM(A490,2)</f>
        <v>20</v>
      </c>
    </row>
    <row r="491" spans="1:9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>
        <f>SUMIFS(Лист2!$C:$C,Лист2!$A:$A,A491,Лист2!$B:$B,B491)</f>
        <v>54</v>
      </c>
      <c r="F491">
        <f>SUMIFS(Лист2!$D:$D,Лист2!$A:$A,A491,Лист2!$B:$B,B491)</f>
        <v>12791</v>
      </c>
      <c r="G491">
        <f>SUMIFS(Лист2!$E:$E,Лист2!$A:$A,A491,Лист2!$B:$B,B491)</f>
        <v>11950</v>
      </c>
      <c r="H491">
        <f>D491/E491</f>
        <v>405468.41666666669</v>
      </c>
      <c r="I491">
        <f>WEEKNUM(A491,2)</f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>
        <f>SUMIFS(Лист2!$C:$C,Лист2!$A:$A,A492,Лист2!$B:$B,B492)</f>
        <v>54</v>
      </c>
      <c r="F492">
        <f>SUMIFS(Лист2!$D:$D,Лист2!$A:$A,A492,Лист2!$B:$B,B492)</f>
        <v>14031</v>
      </c>
      <c r="G492">
        <f>SUMIFS(Лист2!$E:$E,Лист2!$A:$A,A492,Лист2!$B:$B,B492)</f>
        <v>12943</v>
      </c>
      <c r="H492">
        <f>D492/E492</f>
        <v>415113.91666666669</v>
      </c>
      <c r="I492">
        <f>WEEKNUM(A492,2)</f>
        <v>22</v>
      </c>
    </row>
    <row r="493" spans="1:9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>
        <f>SUMIFS(Лист2!$C:$C,Лист2!$A:$A,A493,Лист2!$B:$B,B493)</f>
        <v>7</v>
      </c>
      <c r="F493">
        <f>SUMIFS(Лист2!$D:$D,Лист2!$A:$A,A493,Лист2!$B:$B,B493)</f>
        <v>409</v>
      </c>
      <c r="G493">
        <f>SUMIFS(Лист2!$E:$E,Лист2!$A:$A,A493,Лист2!$B:$B,B493)</f>
        <v>329</v>
      </c>
      <c r="H493">
        <f>D493/E493</f>
        <v>98240.571428571435</v>
      </c>
      <c r="I493">
        <f>WEEKNUM(A493,2)</f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>
        <f>SUMIFS(Лист2!$C:$C,Лист2!$A:$A,A494,Лист2!$B:$B,B494)</f>
        <v>18</v>
      </c>
      <c r="F494">
        <f>SUMIFS(Лист2!$D:$D,Лист2!$A:$A,A494,Лист2!$B:$B,B494)</f>
        <v>985</v>
      </c>
      <c r="G494">
        <f>SUMIFS(Лист2!$E:$E,Лист2!$A:$A,A494,Лист2!$B:$B,B494)</f>
        <v>861</v>
      </c>
      <c r="H494">
        <f>D494/E494</f>
        <v>77709.5</v>
      </c>
      <c r="I494">
        <f>WEEKNUM(A494,2)</f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>
        <f>SUMIFS(Лист2!$C:$C,Лист2!$A:$A,A495,Лист2!$B:$B,B495)</f>
        <v>9</v>
      </c>
      <c r="F495">
        <f>SUMIFS(Лист2!$D:$D,Лист2!$A:$A,A495,Лист2!$B:$B,B495)</f>
        <v>294</v>
      </c>
      <c r="G495">
        <f>SUMIFS(Лист2!$E:$E,Лист2!$A:$A,A495,Лист2!$B:$B,B495)</f>
        <v>224</v>
      </c>
      <c r="H495">
        <f>D495/E495</f>
        <v>43223.666666666664</v>
      </c>
      <c r="I495">
        <f>WEEKNUM(A495,2)</f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>
        <f>SUMIFS(Лист2!$C:$C,Лист2!$A:$A,A496,Лист2!$B:$B,B496)</f>
        <v>15</v>
      </c>
      <c r="F496">
        <f>SUMIFS(Лист2!$D:$D,Лист2!$A:$A,A496,Лист2!$B:$B,B496)</f>
        <v>654</v>
      </c>
      <c r="G496">
        <f>SUMIFS(Лист2!$E:$E,Лист2!$A:$A,A496,Лист2!$B:$B,B496)</f>
        <v>564</v>
      </c>
      <c r="H496">
        <f>D496/E496</f>
        <v>58690.400000000001</v>
      </c>
      <c r="I496">
        <f>WEEKNUM(A496,2)</f>
        <v>20</v>
      </c>
    </row>
    <row r="497" spans="1:9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>
        <f>SUMIFS(Лист2!$C:$C,Лист2!$A:$A,A497,Лист2!$B:$B,B497)</f>
        <v>16</v>
      </c>
      <c r="F497">
        <f>SUMIFS(Лист2!$D:$D,Лист2!$A:$A,A497,Лист2!$B:$B,B497)</f>
        <v>864</v>
      </c>
      <c r="G497">
        <f>SUMIFS(Лист2!$E:$E,Лист2!$A:$A,A497,Лист2!$B:$B,B497)</f>
        <v>765</v>
      </c>
      <c r="H497">
        <f>D497/E497</f>
        <v>76919.4375</v>
      </c>
      <c r="I497">
        <f>WEEKNUM(A497,2)</f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>
        <f>SUMIFS(Лист2!$C:$C,Лист2!$A:$A,A498,Лист2!$B:$B,B498)</f>
        <v>16</v>
      </c>
      <c r="F498">
        <f>SUMIFS(Лист2!$D:$D,Лист2!$A:$A,A498,Лист2!$B:$B,B498)</f>
        <v>834</v>
      </c>
      <c r="G498">
        <f>SUMIFS(Лист2!$E:$E,Лист2!$A:$A,A498,Лист2!$B:$B,B498)</f>
        <v>735</v>
      </c>
      <c r="H498">
        <f>D498/E498</f>
        <v>70729.78125</v>
      </c>
      <c r="I498">
        <f>WEEKNUM(A498,2)</f>
        <v>20</v>
      </c>
    </row>
    <row r="499" spans="1:9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>
        <f>SUMIFS(Лист2!$C:$C,Лист2!$A:$A,A499,Лист2!$B:$B,B499)</f>
        <v>16</v>
      </c>
      <c r="F499">
        <f>SUMIFS(Лист2!$D:$D,Лист2!$A:$A,A499,Лист2!$B:$B,B499)</f>
        <v>817</v>
      </c>
      <c r="G499">
        <f>SUMIFS(Лист2!$E:$E,Лист2!$A:$A,A499,Лист2!$B:$B,B499)</f>
        <v>718</v>
      </c>
      <c r="H499">
        <f>D499/E499</f>
        <v>68190</v>
      </c>
      <c r="I499">
        <f>WEEKNUM(A499,2)</f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>
        <f>SUMIFS(Лист2!$C:$C,Лист2!$A:$A,A500,Лист2!$B:$B,B500)</f>
        <v>18</v>
      </c>
      <c r="F500">
        <f>SUMIFS(Лист2!$D:$D,Лист2!$A:$A,A500,Лист2!$B:$B,B500)</f>
        <v>962</v>
      </c>
      <c r="G500">
        <f>SUMIFS(Лист2!$E:$E,Лист2!$A:$A,A500,Лист2!$B:$B,B500)</f>
        <v>859</v>
      </c>
      <c r="H500">
        <f>D500/E500</f>
        <v>75011.083333333328</v>
      </c>
      <c r="I500">
        <f>WEEKNUM(A500,2)</f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>
        <f>SUMIFS(Лист2!$C:$C,Лист2!$A:$A,A501,Лист2!$B:$B,B501)</f>
        <v>6</v>
      </c>
      <c r="F501">
        <f>SUMIFS(Лист2!$D:$D,Лист2!$A:$A,A501,Лист2!$B:$B,B501)</f>
        <v>237</v>
      </c>
      <c r="G501">
        <f>SUMIFS(Лист2!$E:$E,Лист2!$A:$A,A501,Лист2!$B:$B,B501)</f>
        <v>175</v>
      </c>
      <c r="H501">
        <f>D501/E501</f>
        <v>68482</v>
      </c>
      <c r="I501">
        <f>WEEKNUM(A501,2)</f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>
        <f>SUMIFS(Лист2!$C:$C,Лист2!$A:$A,A502,Лист2!$B:$B,B502)</f>
        <v>7</v>
      </c>
      <c r="F502">
        <f>SUMIFS(Лист2!$D:$D,Лист2!$A:$A,A502,Лист2!$B:$B,B502)</f>
        <v>491</v>
      </c>
      <c r="G502">
        <f>SUMIFS(Лист2!$E:$E,Лист2!$A:$A,A502,Лист2!$B:$B,B502)</f>
        <v>411</v>
      </c>
      <c r="H502">
        <f>D502/E502</f>
        <v>121548.64285714286</v>
      </c>
      <c r="I502">
        <f>WEEKNUM(A502,2)</f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>
        <f>SUMIFS(Лист2!$C:$C,Лист2!$A:$A,A503,Лист2!$B:$B,B503)</f>
        <v>7</v>
      </c>
      <c r="F503">
        <f>SUMIFS(Лист2!$D:$D,Лист2!$A:$A,A503,Лист2!$B:$B,B503)</f>
        <v>500</v>
      </c>
      <c r="G503">
        <f>SUMIFS(Лист2!$E:$E,Лист2!$A:$A,A503,Лист2!$B:$B,B503)</f>
        <v>418</v>
      </c>
      <c r="H503">
        <f>D503/E503</f>
        <v>114635.35714285714</v>
      </c>
      <c r="I503">
        <f>WEEKNUM(A503,2)</f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>
        <f>SUMIFS(Лист2!$C:$C,Лист2!$A:$A,A504,Лист2!$B:$B,B504)</f>
        <v>18</v>
      </c>
      <c r="F504">
        <f>SUMIFS(Лист2!$D:$D,Лист2!$A:$A,A504,Лист2!$B:$B,B504)</f>
        <v>1014</v>
      </c>
      <c r="G504">
        <f>SUMIFS(Лист2!$E:$E,Лист2!$A:$A,A504,Лист2!$B:$B,B504)</f>
        <v>893</v>
      </c>
      <c r="H504">
        <f>D504/E504</f>
        <v>79903.083333333328</v>
      </c>
      <c r="I504">
        <f>WEEKNUM(A504,2)</f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>
        <f>SUMIFS(Лист2!$C:$C,Лист2!$A:$A,A505,Лист2!$B:$B,B505)</f>
        <v>18</v>
      </c>
      <c r="F505">
        <f>SUMIFS(Лист2!$D:$D,Лист2!$A:$A,A505,Лист2!$B:$B,B505)</f>
        <v>923</v>
      </c>
      <c r="G505">
        <f>SUMIFS(Лист2!$E:$E,Лист2!$A:$A,A505,Лист2!$B:$B,B505)</f>
        <v>824</v>
      </c>
      <c r="H505">
        <f>D505/E505</f>
        <v>71845.5</v>
      </c>
      <c r="I505">
        <f>WEEKNUM(A505,2)</f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K2:K505">
    <sortCondition descending="1" ref="K2:K505"/>
  </sortState>
  <pageMargins left="0.7" right="0.7" top="0.75" bottom="0.75" header="0" footer="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7" sqref="B7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1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Лист4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Mariya Ten</cp:lastModifiedBy>
  <dcterms:created xsi:type="dcterms:W3CDTF">2021-09-13T10:17:58Z</dcterms:created>
  <dcterms:modified xsi:type="dcterms:W3CDTF">2026-10-01T20:57:04Z</dcterms:modified>
</cp:coreProperties>
</file>